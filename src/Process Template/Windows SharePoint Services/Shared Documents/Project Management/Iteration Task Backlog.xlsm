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120" yWindow="0" windowWidth="2190" windowHeight="1170" tabRatio="763"/>
  </bookViews>
  <sheets>
    <sheet name="Iteration Backlog" sheetId="6" r:id="rId1"/>
    <sheet name="Settings" sheetId="14" r:id="rId2"/>
    <sheet name="Interruptions" sheetId="15" r:id="rId3"/>
    <sheet name="HiddenCapacityData" sheetId="9" state="veryHidden" r:id="rId4"/>
    <sheet name="Capacity" sheetId="16" r:id="rId5"/>
    <sheet name="Burndown" sheetId="5" r:id="rId6"/>
    <sheet name="BurndownData" sheetId="7" state="hidden" r:id="rId7"/>
    <sheet name="LocalizableStrings" sheetId="13" state="veryHidden" r:id="rId8"/>
  </sheets>
  <definedNames>
    <definedName name="AreaList">HiddenCapacityData!$C$3</definedName>
    <definedName name="AreaListCube">HiddenCapacityData!$I$3</definedName>
    <definedName name="AreaPath">Settings!$C$8</definedName>
    <definedName name="AssignedCapacity" localSheetId="4">IndividualCapacity[Assigned]</definedName>
    <definedName name="AssignedCaption" localSheetId="4">IndividualCapacity[[#Headers],[Assigned]]</definedName>
    <definedName name="AverageVelocity" localSheetId="6">BurndownData!$B$8</definedName>
    <definedName name="BurndownCompletedWork" localSheetId="6">BurndownData!$G$9:$G$40</definedName>
    <definedName name="BurndownDates" localSheetId="6">BurndownData!$E$9:$E$40</definedName>
    <definedName name="BurndownErrorMessage">Burndown!$B$39</definedName>
    <definedName name="BurndownNumDays" localSheetId="6">BurndownData!$B$5</definedName>
    <definedName name="BurndownRemainingWork" localSheetId="6">BurndownData!$F$9:$F$40</definedName>
    <definedName name="CapacityErrorMessage">Capacity!$B$35</definedName>
    <definedName name="CapacityFormulasUpdated" localSheetId="3">HiddenCapacityData!$F$3</definedName>
    <definedName name="CompletedWorkCaption" localSheetId="6">BurndownData!$G$8</definedName>
    <definedName name="CubeStartDate" localSheetId="6">BurndownData!$E$9</definedName>
    <definedName name="CurrentIteration">Settings!$C$9</definedName>
    <definedName name="FirstRemainingHours" localSheetId="6">BurndownData!$F$9</definedName>
    <definedName name="Guidance" localSheetId="5">Burndown!$A$2:$J$3</definedName>
    <definedName name="Guidance" localSheetId="4">Capacity!$A$2:$I$3</definedName>
    <definedName name="Guidance" localSheetId="2">Interruptions!$A$2:$G$3</definedName>
    <definedName name="Guidance" localSheetId="1">Settings!$A$2:$Q$3</definedName>
    <definedName name="InterruptionsErrorMessage">Interruptions!$B$22</definedName>
    <definedName name="IterationDays">Settings!$C$15</definedName>
    <definedName name="IterationEnd">Settings!$C$14</definedName>
    <definedName name="IterationList">HiddenCapacityData!$B$3</definedName>
    <definedName name="IterationListCube">HiddenCapacityData!$H$3</definedName>
    <definedName name="IterationStart">Settings!$C$13</definedName>
    <definedName name="PreviousEndDate" localSheetId="6">BurndownData!$B$2</definedName>
    <definedName name="PreviousStartDate" localSheetId="6">BurndownData!$B$1</definedName>
    <definedName name="PreviousToday" localSheetId="6">BurndownData!$B$3</definedName>
    <definedName name="RemainingWorkCaption" localSheetId="6">BurndownData!$F$8</definedName>
    <definedName name="SettingsErrorMessage">Settings!$B$19</definedName>
    <definedName name="State_Active" localSheetId="7">LocalizableStrings!$D$2</definedName>
    <definedName name="TeamCapable">Capacity!$C$10</definedName>
    <definedName name="TeamOver">Capacity!$C$11</definedName>
    <definedName name="TeamRemainingCapacity">Capacity!$C$9</definedName>
    <definedName name="TeamRemainingWork">Capacity!$C$8</definedName>
    <definedName name="TeamUnder">Capacity!$C$12</definedName>
    <definedName name="TrendCaption" localSheetId="6">TrendLineTable[[#Headers],[Trend Line]]</definedName>
    <definedName name="TrendData" localSheetId="6">TrendLineTable[Trend Line]</definedName>
    <definedName name="TrendOffset" localSheetId="6">BurndownData!$B$6</definedName>
    <definedName name="TrendRemainingStart" localSheetId="6">BurndownData!$B$7</definedName>
    <definedName name="TrendStartDate" localSheetId="5">Burndown!$C$7</definedName>
    <definedName name="UpdatingCell" localSheetId="5">Burndown!$B$37</definedName>
    <definedName name="UserList">HiddenCapacityData!$A$3</definedName>
    <definedName name="VSTS_53f34bbd_713e_4b11_b699_81b0d2514bdf_1" hidden="1">'Iteration Backlog'!$B$2:$B$14</definedName>
    <definedName name="VSTS_53f34bbd_713e_4b11_b699_81b0d2514bdf_10004" hidden="1">'Iteration Backlog'!$H$2:$H$14</definedName>
    <definedName name="VSTS_53f34bbd_713e_4b11_b699_81b0d2514bdf_10005" hidden="1">'Iteration Backlog'!$G$2:$G$14</definedName>
    <definedName name="VSTS_53f34bbd_713e_4b11_b699_81b0d2514bdf_10014" hidden="1">'Iteration Backlog'!$I$2:$I$14</definedName>
    <definedName name="VSTS_53f34bbd_713e_4b11_b699_81b0d2514bdf_10016" hidden="1">'Iteration Backlog'!$J$2:$J$14</definedName>
    <definedName name="VSTS_53f34bbd_713e_4b11_b699_81b0d2514bdf_10017" hidden="1">'Iteration Backlog'!#REF!</definedName>
    <definedName name="VSTS_53f34bbd_713e_4b11_b699_81b0d2514bdf_10032" hidden="1">'Iteration Backlog'!$K$2:$K$14</definedName>
    <definedName name="VSTS_53f34bbd_713e_4b11_b699_81b0d2514bdf_2" hidden="1">'Iteration Backlog'!$E$2:$E$14</definedName>
    <definedName name="VSTS_53f34bbd_713e_4b11_b699_81b0d2514bdf_24" hidden="1">'Iteration Backlog'!$D$2:$D$14</definedName>
    <definedName name="VSTS_53f34bbd_713e_4b11_b699_81b0d2514bdf_25" hidden="1">'Iteration Backlog'!#REF!</definedName>
    <definedName name="VSTS_53f34bbd_713e_4b11_b699_81b0d2514bdf_f3" hidden="1">'Iteration Backlog'!$C$2:$C$14</definedName>
    <definedName name="VSTS_53f34bbd_713e_4b11_b699_81b0d2514bdf_f4" hidden="1">'Iteration Backlog'!#REF!</definedName>
    <definedName name="VSTS_53f34bbd_713e_4b11_b699_81b0d2514bdf_n105" hidden="1">'Iteration Backlog'!$L$2:$L$14</definedName>
    <definedName name="VSTS_53f34bbd_713e_4b11_b699_81b0d2514bdf_n3" hidden="1">'Iteration Backlog'!$A$2:$A$14</definedName>
    <definedName name="VSTS_53f34bbd_713e_4b11_b699_81b0d2514bdf_n7" hidden="1">'Iteration Backlog'!$M$2:$M$14</definedName>
  </definedNames>
  <calcPr calcId="144315"/>
  <pivotCaches>
    <pivotCache cacheId="0" r:id="rId9"/>
  </pivotCaches>
</workbook>
</file>

<file path=xl/calcChain.xml><?xml version="1.0" encoding="utf-8"?>
<calcChain xmlns="http://schemas.openxmlformats.org/spreadsheetml/2006/main">
  <c r="B6" i="7" l="1"/>
  <c r="B7" i="7" s="1"/>
  <c r="A11" i="7" s="1"/>
  <c r="A38356" i="7" l="1"/>
  <c r="B5" i="7"/>
  <c r="B8" i="7" s="1"/>
  <c r="A12" i="7" l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D30" i="16"/>
  <c r="D31" i="16"/>
  <c r="D32" i="16"/>
  <c r="G8" i="15"/>
  <c r="D29" i="16" s="1"/>
  <c r="G9" i="15"/>
  <c r="G10" i="15"/>
  <c r="G11" i="15"/>
  <c r="F8" i="15"/>
  <c r="F9" i="15"/>
  <c r="F10" i="15"/>
  <c r="F11" i="15"/>
  <c r="D13" i="14"/>
  <c r="D14" i="14"/>
  <c r="B4" i="5"/>
  <c r="B4" i="14"/>
  <c r="B4" i="15"/>
  <c r="B4" i="16"/>
  <c r="C15" i="14" l="1"/>
  <c r="D15" i="14" s="1"/>
  <c r="C27" i="16"/>
  <c r="E31" i="16" l="1"/>
  <c r="G31" i="16" s="1"/>
  <c r="E29" i="16"/>
  <c r="G29" i="16" s="1"/>
  <c r="E30" i="16"/>
  <c r="G30" i="16" s="1"/>
  <c r="H30" i="16" l="1"/>
  <c r="I29" i="16"/>
  <c r="H29" i="16"/>
  <c r="H31" i="16"/>
  <c r="I30" i="16"/>
  <c r="I31" i="16"/>
  <c r="E32" i="16" l="1"/>
  <c r="G32" i="16" s="1"/>
  <c r="C9" i="16" l="1"/>
  <c r="C12" i="16" s="1"/>
  <c r="I32" i="16"/>
  <c r="H32" i="16"/>
  <c r="C10" i="16" l="1"/>
  <c r="C11" i="16"/>
</calcChain>
</file>

<file path=xl/connections.xml><?xml version="1.0" encoding="utf-8"?>
<connections xmlns="http://schemas.openxmlformats.org/spreadsheetml/2006/main">
  <connection id="1" keepAlive="1" name="Burndown_1260D3F7-17DE-465d-B9FB-51623458A2DD" type="5" refreshedVersion="3" deleted="1">
    <dbPr connection="" command="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Burndown_1260D3F7-17DE-465d-B9FB-51623458A2DD"/>
    <s v="{[Work Item].[System_State].[All]}"/>
    <s v="{[Work Item].[System_WorkItemType].&amp;[Task]}"/>
    <s v="{[Work Item].[Iteration Hierarchy].[All]}"/>
    <s v="{[Work Item].[Area Hierarchy].[All]}"/>
    <s v="{[Team Project].[Project Node GUID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<sst xmlns="http://schemas.openxmlformats.org/spreadsheetml/2006/main" count="171" uniqueCount="141">
  <si>
    <t>Burndown</t>
  </si>
  <si>
    <t>Iteration</t>
  </si>
  <si>
    <t>Holidays</t>
  </si>
  <si>
    <t>Description</t>
  </si>
  <si>
    <t>Date</t>
  </si>
  <si>
    <t>Remaining Work</t>
  </si>
  <si>
    <t>Work Item Type</t>
  </si>
  <si>
    <t>Previous Start:</t>
  </si>
  <si>
    <t>Previous End:</t>
  </si>
  <si>
    <t>Previous Today:</t>
  </si>
  <si>
    <t>Area Path</t>
  </si>
  <si>
    <t>Total Estimated Work</t>
  </si>
  <si>
    <t>Team Member</t>
  </si>
  <si>
    <t>\</t>
  </si>
  <si>
    <t>Users</t>
  </si>
  <si>
    <t>Iterations</t>
  </si>
  <si>
    <t>Areas</t>
  </si>
  <si>
    <t>Iteration Path</t>
  </si>
  <si>
    <t>Sum of Original Estimate</t>
  </si>
  <si>
    <t>Total Remaining Work</t>
  </si>
  <si>
    <t>Title 1</t>
  </si>
  <si>
    <t>Assigned To</t>
  </si>
  <si>
    <t>State</t>
  </si>
  <si>
    <t>Completed Work</t>
  </si>
  <si>
    <t>Original Estimate</t>
  </si>
  <si>
    <t>Priority</t>
  </si>
  <si>
    <t>Team Project</t>
  </si>
  <si>
    <t>Messages</t>
  </si>
  <si>
    <t>Fields</t>
  </si>
  <si>
    <t>Days</t>
  </si>
  <si>
    <t>Active</t>
  </si>
  <si>
    <t>Other</t>
  </si>
  <si>
    <t>Dates</t>
  </si>
  <si>
    <t>Capacity</t>
  </si>
  <si>
    <t>Step 1</t>
  </si>
  <si>
    <t>Step 2</t>
  </si>
  <si>
    <t>Interruptions</t>
  </si>
  <si>
    <t>Hours/Day</t>
  </si>
  <si>
    <t>Assigned</t>
  </si>
  <si>
    <t>Over</t>
  </si>
  <si>
    <t>Under</t>
  </si>
  <si>
    <t>Planned Interruptions</t>
  </si>
  <si>
    <t>Capacity Updated</t>
  </si>
  <si>
    <t>Trend Start Date</t>
  </si>
  <si>
    <t>Use this worksheet to track your progress during the iteration.</t>
  </si>
  <si>
    <t>Formulas</t>
  </si>
  <si>
    <t>Remaining Capacity</t>
  </si>
  <si>
    <t>Team Capacity</t>
  </si>
  <si>
    <t>Individual Capacity</t>
  </si>
  <si>
    <t>End Date</t>
  </si>
  <si>
    <t>Start Date</t>
  </si>
  <si>
    <t>Area</t>
  </si>
  <si>
    <t>From Iteration Backlog Query results:</t>
  </si>
  <si>
    <t>From Cube:</t>
  </si>
  <si>
    <t>Days*</t>
  </si>
  <si>
    <t>Show Guidance</t>
  </si>
  <si>
    <t>Hide Guidance</t>
  </si>
  <si>
    <t>Retrieving areas and iterations from cube...</t>
  </si>
  <si>
    <t>Retrieving previous iterations Completed Hours…</t>
  </si>
  <si>
    <t>Settings</t>
  </si>
  <si>
    <r>
      <t xml:space="preserve">The Iteration dates are not set.  Switch back to the </t>
    </r>
    <r>
      <rPr>
        <b/>
        <sz val="11"/>
        <color theme="1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tab and update the Start and End date for this Iteration.</t>
    </r>
  </si>
  <si>
    <t>Hours</t>
  </si>
  <si>
    <t>Totals</t>
  </si>
  <si>
    <r>
      <t xml:space="preserve">  </t>
    </r>
    <r>
      <rPr>
        <b/>
        <sz val="10"/>
        <color theme="1"/>
        <rFont val="Calibri"/>
        <family val="2"/>
        <scheme val="minor"/>
      </rPr>
      <t>Step 1</t>
    </r>
    <r>
      <rPr>
        <sz val="10"/>
        <color theme="1"/>
        <rFont val="Calibri"/>
        <family val="2"/>
        <scheme val="minor"/>
      </rPr>
      <t xml:space="preserve">:  Select the appropriate </t>
    </r>
    <r>
      <rPr>
        <b/>
        <sz val="10"/>
        <color theme="1"/>
        <rFont val="Calibri"/>
        <family val="2"/>
        <scheme val="minor"/>
      </rPr>
      <t>Area</t>
    </r>
    <r>
      <rPr>
        <sz val="10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Calibri"/>
        <family val="2"/>
        <scheme val="minor"/>
      </rPr>
      <t>Iteration.</t>
    </r>
    <r>
      <rPr>
        <sz val="10"/>
        <color theme="1"/>
        <rFont val="Calibri"/>
        <family val="2"/>
        <scheme val="minor"/>
      </rPr>
      <t xml:space="preserve">   
  </t>
    </r>
    <r>
      <rPr>
        <b/>
        <sz val="10"/>
        <color theme="1"/>
        <rFont val="Calibri"/>
        <family val="2"/>
        <scheme val="minor"/>
      </rPr>
      <t>Step 2</t>
    </r>
    <r>
      <rPr>
        <sz val="10"/>
        <color theme="1"/>
        <rFont val="Calibri"/>
        <family val="2"/>
        <scheme val="minor"/>
      </rPr>
      <t xml:space="preserve">:  Enter the </t>
    </r>
    <r>
      <rPr>
        <b/>
        <sz val="10"/>
        <color theme="1"/>
        <rFont val="Calibri"/>
        <family val="2"/>
        <scheme val="minor"/>
      </rPr>
      <t>Start Date</t>
    </r>
    <r>
      <rPr>
        <sz val="10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Calibri"/>
        <family val="2"/>
        <scheme val="minor"/>
      </rPr>
      <t>End Date</t>
    </r>
    <r>
      <rPr>
        <sz val="10"/>
        <color theme="1"/>
        <rFont val="Calibri"/>
        <family val="2"/>
        <scheme val="minor"/>
      </rPr>
      <t xml:space="preserve"> for the iteration. 
  </t>
    </r>
    <r>
      <rPr>
        <b/>
        <sz val="10"/>
        <color theme="1"/>
        <rFont val="Calibri"/>
        <family val="2"/>
        <scheme val="minor"/>
      </rPr>
      <t>Step 3</t>
    </r>
    <r>
      <rPr>
        <sz val="10"/>
        <color theme="1"/>
        <rFont val="Calibri"/>
        <family val="2"/>
        <scheme val="minor"/>
      </rPr>
      <t xml:space="preserve">:  Switch to the </t>
    </r>
    <r>
      <rPr>
        <b/>
        <sz val="10"/>
        <color theme="1"/>
        <rFont val="Calibri"/>
        <family val="2"/>
        <scheme val="minor"/>
      </rPr>
      <t>Interruptions</t>
    </r>
    <r>
      <rPr>
        <sz val="10"/>
        <color theme="1"/>
        <rFont val="Calibri"/>
        <family val="2"/>
        <scheme val="minor"/>
      </rPr>
      <t xml:space="preserve"> worksheet to enter interruptions to the iteration.</t>
    </r>
  </si>
  <si>
    <t>Use this worksheet to begin your iteration planning.  For detailed instructions on how to use this workbook visit:  http://go.microsoft.com/fwlink/?LinkId=145659</t>
  </si>
  <si>
    <t>Use this worksheet to describe planned interruptions in your team’s schedule for this iteration.</t>
  </si>
  <si>
    <r>
      <t xml:space="preserve">  </t>
    </r>
    <r>
      <rPr>
        <b/>
        <sz val="10"/>
        <color theme="1"/>
        <rFont val="Calibri"/>
        <family val="2"/>
        <scheme val="minor"/>
      </rPr>
      <t>Step 1</t>
    </r>
    <r>
      <rPr>
        <sz val="10"/>
        <color theme="1"/>
        <rFont val="Calibri"/>
        <family val="2"/>
        <scheme val="minor"/>
      </rPr>
      <t xml:space="preserve">:  Add </t>
    </r>
    <r>
      <rPr>
        <b/>
        <sz val="10"/>
        <color theme="1"/>
        <rFont val="Calibri"/>
        <family val="2"/>
        <scheme val="minor"/>
      </rPr>
      <t>Days</t>
    </r>
    <r>
      <rPr>
        <sz val="10"/>
        <color theme="1"/>
        <rFont val="Calibri"/>
        <family val="2"/>
        <scheme val="minor"/>
      </rPr>
      <t xml:space="preserve"> that individuals plan to be off work in the </t>
    </r>
    <r>
      <rPr>
        <b/>
        <sz val="10"/>
        <color theme="1"/>
        <rFont val="Calibri"/>
        <family val="2"/>
        <scheme val="minor"/>
      </rPr>
      <t>Planned Interruptions</t>
    </r>
    <r>
      <rPr>
        <sz val="10"/>
        <color theme="1"/>
        <rFont val="Calibri"/>
        <family val="2"/>
        <scheme val="minor"/>
      </rPr>
      <t xml:space="preserve"> table.
  </t>
    </r>
    <r>
      <rPr>
        <b/>
        <sz val="10"/>
        <color theme="1"/>
        <rFont val="Calibri"/>
        <family val="2"/>
        <scheme val="minor"/>
      </rPr>
      <t>Step 2</t>
    </r>
    <r>
      <rPr>
        <sz val="10"/>
        <color theme="1"/>
        <rFont val="Calibri"/>
        <family val="2"/>
        <scheme val="minor"/>
      </rPr>
      <t xml:space="preserve">:  Add holidays or days when the entire team will not be working during in this iteration in the </t>
    </r>
    <r>
      <rPr>
        <b/>
        <sz val="10"/>
        <color theme="1"/>
        <rFont val="Calibri"/>
        <family val="2"/>
        <scheme val="minor"/>
      </rPr>
      <t>Holidays</t>
    </r>
    <r>
      <rPr>
        <sz val="10"/>
        <color theme="1"/>
        <rFont val="Calibri"/>
        <family val="2"/>
        <scheme val="minor"/>
      </rPr>
      <t xml:space="preserve"> table.  The </t>
    </r>
    <r>
      <rPr>
        <b/>
        <sz val="10"/>
        <color theme="1"/>
        <rFont val="Calibri"/>
        <family val="2"/>
        <scheme val="minor"/>
      </rPr>
      <t>Days</t>
    </r>
    <r>
      <rPr>
        <sz val="10"/>
        <color theme="1"/>
        <rFont val="Calibri"/>
        <family val="2"/>
        <scheme val="minor"/>
      </rPr>
      <t xml:space="preserve"> column on the </t>
    </r>
    <r>
      <rPr>
        <b/>
        <sz val="10"/>
        <color theme="1"/>
        <rFont val="Calibri"/>
        <family val="2"/>
        <scheme val="minor"/>
      </rPr>
      <t>Settings</t>
    </r>
    <r>
      <rPr>
        <sz val="10"/>
        <color theme="1"/>
        <rFont val="Calibri"/>
        <family val="2"/>
        <scheme val="minor"/>
      </rPr>
      <t xml:space="preserve"> worksheet will not count these days toward the total number of days in the iteration. 
  </t>
    </r>
    <r>
      <rPr>
        <b/>
        <sz val="10"/>
        <color theme="1"/>
        <rFont val="Calibri"/>
        <family val="2"/>
        <scheme val="minor"/>
      </rPr>
      <t>Step 3</t>
    </r>
    <r>
      <rPr>
        <sz val="10"/>
        <color theme="1"/>
        <rFont val="Calibri"/>
        <family val="2"/>
        <scheme val="minor"/>
      </rPr>
      <t xml:space="preserve">:  Switch to the </t>
    </r>
    <r>
      <rPr>
        <b/>
        <sz val="10"/>
        <color theme="1"/>
        <rFont val="Calibri"/>
        <family val="2"/>
        <scheme val="minor"/>
      </rPr>
      <t>Capacity</t>
    </r>
    <r>
      <rPr>
        <sz val="10"/>
        <color theme="1"/>
        <rFont val="Calibri"/>
        <family val="2"/>
        <scheme val="minor"/>
      </rPr>
      <t xml:space="preserve"> worksheet to continue.</t>
    </r>
  </si>
  <si>
    <t>Use this worksheet to balance the load between the members of your team.</t>
  </si>
  <si>
    <r>
      <t xml:space="preserve">  * Accounts for holidays entered for the Team in the </t>
    </r>
    <r>
      <rPr>
        <b/>
        <sz val="10"/>
        <color theme="1"/>
        <rFont val="Calibri"/>
        <family val="2"/>
        <scheme val="minor"/>
      </rPr>
      <t>Interruptions</t>
    </r>
    <r>
      <rPr>
        <sz val="10"/>
        <color theme="1"/>
        <rFont val="Calibri"/>
        <family val="2"/>
        <scheme val="minor"/>
      </rPr>
      <t xml:space="preserve"> tab.</t>
    </r>
  </si>
  <si>
    <t>This workbook will not behave correctly with macros disabled.  Review the Security Warning in the Message Bar above.</t>
  </si>
  <si>
    <t>Area &amp; Iteration</t>
  </si>
  <si>
    <r>
      <t xml:space="preserve">  </t>
    </r>
    <r>
      <rPr>
        <b/>
        <sz val="10"/>
        <color theme="1"/>
        <rFont val="Calibri"/>
        <family val="2"/>
        <scheme val="minor"/>
      </rPr>
      <t>Step 1</t>
    </r>
    <r>
      <rPr>
        <sz val="10"/>
        <color theme="1"/>
        <rFont val="Calibri"/>
        <family val="2"/>
        <scheme val="minor"/>
      </rPr>
      <t xml:space="preserve">:  Add each team member and the expected hours that team member will work on this project per day.  The </t>
    </r>
    <r>
      <rPr>
        <b/>
        <sz val="10"/>
        <color theme="1"/>
        <rFont val="Calibri"/>
        <family val="2"/>
        <scheme val="minor"/>
      </rPr>
      <t>Team Capacity</t>
    </r>
    <r>
      <rPr>
        <sz val="10"/>
        <color theme="1"/>
        <rFont val="Calibri"/>
        <family val="2"/>
        <scheme val="minor"/>
      </rPr>
      <t xml:space="preserve"> chart updates to reflect your team's capacity versus versus work assigned for this iteration. 
  </t>
    </r>
    <r>
      <rPr>
        <b/>
        <sz val="10"/>
        <color theme="1"/>
        <rFont val="Calibri"/>
        <family val="2"/>
        <scheme val="minor"/>
      </rPr>
      <t>Step 2</t>
    </r>
    <r>
      <rPr>
        <sz val="10"/>
        <color theme="1"/>
        <rFont val="Calibri"/>
        <family val="2"/>
        <scheme val="minor"/>
      </rPr>
      <t xml:space="preserve">:  Switch to the </t>
    </r>
    <r>
      <rPr>
        <b/>
        <sz val="10"/>
        <color theme="1"/>
        <rFont val="Calibri"/>
        <family val="2"/>
        <scheme val="minor"/>
      </rPr>
      <t>Iteration Backlog</t>
    </r>
    <r>
      <rPr>
        <sz val="10"/>
        <color theme="1"/>
        <rFont val="Calibri"/>
        <family val="2"/>
        <scheme val="minor"/>
      </rPr>
      <t xml:space="preserve"> worksheet to add new tasks to this iteration, returning to this sheet to see how the load is being distributed.
  </t>
    </r>
    <r>
      <rPr>
        <b/>
        <sz val="10"/>
        <color theme="1"/>
        <rFont val="Calibri"/>
        <family val="2"/>
        <scheme val="minor"/>
      </rPr>
      <t>Step 3</t>
    </r>
    <r>
      <rPr>
        <sz val="10"/>
        <color theme="1"/>
        <rFont val="Calibri"/>
        <family val="2"/>
        <scheme val="minor"/>
      </rPr>
      <t>:  Reassign tasks to balance the workload as necessary to ensure that no team member has more work assigned than that team member’s available capacity.</t>
    </r>
  </si>
  <si>
    <t>Utilized</t>
  </si>
  <si>
    <t>Could not connect to the server '{0}'. Ensure SQL Server Analysis Services is running.</t>
  </si>
  <si>
    <t>The Iteration Start Date should be before the End Date.</t>
  </si>
  <si>
    <t>This is not a valid date.</t>
  </si>
  <si>
    <r>
      <t xml:space="preserve">The Iteration dates are not valid. Switch back to the </t>
    </r>
    <r>
      <rPr>
        <b/>
        <sz val="11"/>
        <color theme="1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tab and enter valid dates.</t>
    </r>
  </si>
  <si>
    <t>Updating Burndown chart…</t>
  </si>
  <si>
    <t>The Iteration Backlog query was not bound to this workbook.  Use the Team tab and create a new list.</t>
  </si>
  <si>
    <t>Connecting to cube on Analysis Server '{0}'…</t>
  </si>
  <si>
    <t>Remaining Days</t>
  </si>
  <si>
    <t>This could be because Reporting Sevices is not installed for this TFS instance.</t>
  </si>
  <si>
    <t xml:space="preserve">One or more document properties are not present: {0}. </t>
  </si>
  <si>
    <t xml:space="preserve">One or more required fields are not present in the Iteration Backlog query results: {0}. </t>
  </si>
  <si>
    <t>Team Project Hierarchy</t>
  </si>
  <si>
    <t>All</t>
  </si>
  <si>
    <t>Work Item.Area Hierarchy</t>
  </si>
  <si>
    <t>Work Item.Iteration Hierarchy</t>
  </si>
  <si>
    <t>Work Item.Work Item Type</t>
  </si>
  <si>
    <t>Work Item.State</t>
  </si>
  <si>
    <t>Values</t>
  </si>
  <si>
    <t>Trend Offset:</t>
  </si>
  <si>
    <t>Average Velocity:</t>
  </si>
  <si>
    <t>Iteration Days:</t>
  </si>
  <si>
    <t>Burndown Settings</t>
  </si>
  <si>
    <t>Trend Line</t>
  </si>
  <si>
    <t>Trend Remaining:</t>
  </si>
  <si>
    <t xml:space="preserve">One or more required fields filters are not present in the BurndownData pivot table: {0}. </t>
  </si>
  <si>
    <t xml:space="preserve">One or more required values are not present in the BurndownData pivot table: {0}. </t>
  </si>
  <si>
    <t>Pivot Table Filters/Measures</t>
  </si>
  <si>
    <r>
      <t xml:space="preserve">  </t>
    </r>
    <r>
      <rPr>
        <b/>
        <sz val="10"/>
        <color theme="1"/>
        <rFont val="Calibri"/>
        <family val="2"/>
        <scheme val="minor"/>
      </rPr>
      <t>Step 1</t>
    </r>
    <r>
      <rPr>
        <sz val="10"/>
        <color theme="1"/>
        <rFont val="Calibri"/>
        <family val="2"/>
        <scheme val="minor"/>
      </rPr>
      <t xml:space="preserve">:  Enter the date that you will start the iteration in the </t>
    </r>
    <r>
      <rPr>
        <b/>
        <sz val="10"/>
        <color theme="1"/>
        <rFont val="Calibri"/>
        <family val="2"/>
        <scheme val="minor"/>
      </rPr>
      <t>Trend Start Date</t>
    </r>
    <r>
      <rPr>
        <sz val="10"/>
        <color theme="1"/>
        <rFont val="Calibri"/>
        <family val="2"/>
        <scheme val="minor"/>
      </rPr>
      <t xml:space="preserve"> cell.
  </t>
    </r>
    <r>
      <rPr>
        <b/>
        <sz val="10"/>
        <color theme="1"/>
        <rFont val="Calibri"/>
        <family val="2"/>
        <scheme val="minor"/>
      </rPr>
      <t>Step 2</t>
    </r>
    <r>
      <rPr>
        <sz val="10"/>
        <color theme="1"/>
        <rFont val="Calibri"/>
        <family val="2"/>
        <scheme val="minor"/>
      </rPr>
      <t xml:space="preserve">:  Click the </t>
    </r>
    <r>
      <rPr>
        <b/>
        <sz val="10"/>
        <color theme="1"/>
        <rFont val="Calibri"/>
        <family val="2"/>
        <scheme val="minor"/>
      </rPr>
      <t>Update Now</t>
    </r>
    <r>
      <rPr>
        <sz val="10"/>
        <color theme="1"/>
        <rFont val="Calibri"/>
        <family val="2"/>
        <scheme val="minor"/>
      </rPr>
      <t xml:space="preserve"> link or check the </t>
    </r>
    <r>
      <rPr>
        <b/>
        <sz val="10"/>
        <color theme="1"/>
        <rFont val="Calibri"/>
        <family val="2"/>
        <scheme val="minor"/>
      </rPr>
      <t>Automatic Chart Update</t>
    </r>
    <r>
      <rPr>
        <sz val="10"/>
        <color theme="1"/>
        <rFont val="Calibri"/>
        <family val="2"/>
        <scheme val="minor"/>
      </rPr>
      <t xml:space="preserve"> option to have the chart updated whenever you make changes in the other worksheets.
</t>
    </r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When you modify the Iteration Backlog query, you might want to update the filters that control the Burndown chart. To modify these filters, right-click any worksheet tab, click Unhide, and then click BurndownData. On the BurndownData worksheet, you can add or modify the filters in the pivot table. </t>
    </r>
  </si>
  <si>
    <t>One or more of the dates is not valid in the Holidays table on the Iterruptions tab.</t>
  </si>
  <si>
    <t>Task</t>
  </si>
  <si>
    <t>The iteration path '{0}' is not in the cube. Try again after you have a work item with this iteration path and the cube has been processed.</t>
  </si>
  <si>
    <t>The area path '{0}' is not in the cube. Try again after you have a work item with this area path and the cube has been processed.</t>
  </si>
  <si>
    <t>Date Value</t>
  </si>
  <si>
    <t>8/1/2009</t>
  </si>
  <si>
    <t>8/2/2009</t>
  </si>
  <si>
    <t>8/3/2009</t>
  </si>
  <si>
    <t>8/4/2009</t>
  </si>
  <si>
    <t>8/5/2009</t>
  </si>
  <si>
    <t>8/6/2009</t>
  </si>
  <si>
    <t>8/7/2009</t>
  </si>
  <si>
    <t>8/8/2009</t>
  </si>
  <si>
    <t>8/9/2009</t>
  </si>
  <si>
    <t>8/10/2009</t>
  </si>
  <si>
    <t>8/11/2009</t>
  </si>
  <si>
    <t>8/12/2009</t>
  </si>
  <si>
    <t>8/13/2009</t>
  </si>
  <si>
    <t>8/14/2009</t>
  </si>
  <si>
    <t>8/15/2009</t>
  </si>
  <si>
    <t>8/16/2009</t>
  </si>
  <si>
    <t>8/17/2009</t>
  </si>
  <si>
    <t>8/18/2009</t>
  </si>
  <si>
    <t>8/19/2009</t>
  </si>
  <si>
    <t>8/20/2009</t>
  </si>
  <si>
    <t>8/21/2009</t>
  </si>
  <si>
    <t>8/22/2009</t>
  </si>
  <si>
    <t>8/23/2009</t>
  </si>
  <si>
    <t>8/24/2009</t>
  </si>
  <si>
    <t>8/25/2009</t>
  </si>
  <si>
    <t>8/26/2009</t>
  </si>
  <si>
    <t>8/27/2009</t>
  </si>
  <si>
    <t>8/28/2009</t>
  </si>
  <si>
    <t>8/29/2009</t>
  </si>
  <si>
    <t>8/30/2009</t>
  </si>
  <si>
    <t>8/31/2009</t>
  </si>
  <si>
    <t>9/1/2009</t>
  </si>
  <si>
    <t>Unknown</t>
  </si>
  <si>
    <t>\Iteation 1</t>
  </si>
  <si>
    <t>\Iteration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</si>
</sst>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##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ahoma"/>
      <family val="2"/>
    </font>
    <font>
      <sz val="8"/>
      <color theme="1"/>
      <name val="Tahoma"/>
      <family val="2"/>
    </font>
    <font>
      <sz val="8"/>
      <color theme="1" tint="0.34998626667073579"/>
      <name val="Tahoma"/>
      <family val="2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6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F253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3" borderId="1" applyNumberFormat="0" applyAlignment="0" applyProtection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5">
    <xf numFmtId="0" fontId="0" fillId="0" borderId="0" xfId="0"/>
    <xf numFmtId="0" fontId="2" fillId="0" borderId="0" xfId="0" applyFont="1"/>
    <xf numFmtId="0" fontId="5" fillId="0" borderId="0" xfId="0" applyFont="1"/>
    <xf numFmtId="0" fontId="5" fillId="0" borderId="0" xfId="0" applyFont="1" applyFill="1"/>
    <xf numFmtId="0" fontId="4" fillId="0" borderId="0" xfId="0" applyFont="1"/>
    <xf numFmtId="0" fontId="4" fillId="0" borderId="0" xfId="0" applyFont="1" applyFill="1"/>
    <xf numFmtId="0" fontId="0" fillId="0" borderId="0" xfId="0" applyAlignment="1">
      <alignment horizontal="left"/>
    </xf>
    <xf numFmtId="164" fontId="0" fillId="0" borderId="0" xfId="0" applyNumberFormat="1"/>
    <xf numFmtId="164" fontId="4" fillId="0" borderId="0" xfId="0" applyNumberFormat="1" applyFont="1"/>
    <xf numFmtId="0" fontId="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/>
    <xf numFmtId="0" fontId="0" fillId="0" borderId="0" xfId="0"/>
    <xf numFmtId="0" fontId="0" fillId="0" borderId="0" xfId="0"/>
    <xf numFmtId="0" fontId="8" fillId="5" borderId="0" xfId="0" applyFont="1" applyFill="1" applyAlignment="1">
      <alignment vertical="center"/>
    </xf>
    <xf numFmtId="14" fontId="8" fillId="5" borderId="0" xfId="0" applyNumberFormat="1" applyFont="1" applyFill="1" applyAlignment="1">
      <alignment vertical="center"/>
    </xf>
    <xf numFmtId="1" fontId="8" fillId="5" borderId="0" xfId="0" applyNumberFormat="1" applyFont="1" applyFill="1" applyAlignment="1">
      <alignment vertical="center"/>
    </xf>
    <xf numFmtId="0" fontId="0" fillId="6" borderId="0" xfId="0" applyFont="1" applyFill="1" applyAlignment="1"/>
    <xf numFmtId="0" fontId="0" fillId="6" borderId="0" xfId="0" applyFont="1" applyFill="1"/>
    <xf numFmtId="0" fontId="0" fillId="0" borderId="0" xfId="0"/>
    <xf numFmtId="0" fontId="7" fillId="0" borderId="0" xfId="0" applyFont="1" applyFill="1" applyBorder="1"/>
    <xf numFmtId="0" fontId="10" fillId="0" borderId="0" xfId="0" applyFont="1" applyFill="1" applyBorder="1"/>
    <xf numFmtId="14" fontId="11" fillId="0" borderId="0" xfId="0" applyNumberFormat="1" applyFont="1" applyFill="1" applyBorder="1"/>
    <xf numFmtId="0" fontId="11" fillId="0" borderId="0" xfId="0" applyFont="1" applyFill="1" applyBorder="1"/>
    <xf numFmtId="0" fontId="7" fillId="0" borderId="0" xfId="0" applyFont="1"/>
    <xf numFmtId="0" fontId="14" fillId="0" borderId="0" xfId="0" applyFont="1" applyFill="1" applyBorder="1"/>
    <xf numFmtId="0" fontId="13" fillId="4" borderId="2" xfId="0" applyFont="1" applyFill="1" applyBorder="1"/>
    <xf numFmtId="0" fontId="12" fillId="4" borderId="2" xfId="0" applyFont="1" applyFill="1" applyBorder="1"/>
    <xf numFmtId="14" fontId="7" fillId="0" borderId="0" xfId="0" applyNumberFormat="1" applyFont="1"/>
    <xf numFmtId="0" fontId="0" fillId="0" borderId="0" xfId="0"/>
    <xf numFmtId="0" fontId="7" fillId="0" borderId="0" xfId="0" applyFont="1"/>
    <xf numFmtId="0" fontId="14" fillId="0" borderId="0" xfId="0" applyFont="1" applyFill="1" applyBorder="1"/>
    <xf numFmtId="0" fontId="10" fillId="8" borderId="2" xfId="0" applyFont="1" applyFill="1" applyBorder="1"/>
    <xf numFmtId="0" fontId="10" fillId="8" borderId="4" xfId="0" applyFont="1" applyFill="1" applyBorder="1"/>
    <xf numFmtId="14" fontId="7" fillId="0" borderId="5" xfId="0" applyNumberFormat="1" applyFont="1" applyFill="1" applyBorder="1"/>
    <xf numFmtId="0" fontId="0" fillId="0" borderId="0" xfId="0" applyAlignment="1">
      <alignment horizontal="left"/>
    </xf>
    <xf numFmtId="0" fontId="7" fillId="7" borderId="0" xfId="0" applyNumberFormat="1" applyFont="1" applyFill="1"/>
    <xf numFmtId="0" fontId="7" fillId="0" borderId="0" xfId="0" applyNumberFormat="1" applyFont="1" applyFill="1"/>
    <xf numFmtId="14" fontId="0" fillId="0" borderId="0" xfId="0" applyNumberFormat="1"/>
    <xf numFmtId="16" fontId="0" fillId="0" borderId="0" xfId="0" applyNumberFormat="1"/>
    <xf numFmtId="0" fontId="16" fillId="0" borderId="0" xfId="0" applyFont="1"/>
    <xf numFmtId="0" fontId="17" fillId="5" borderId="0" xfId="0" applyFont="1" applyFill="1" applyAlignment="1">
      <alignment horizontal="right"/>
    </xf>
    <xf numFmtId="14" fontId="7" fillId="0" borderId="3" xfId="0" applyNumberFormat="1" applyFont="1" applyFill="1" applyBorder="1" applyProtection="1">
      <protection locked="0"/>
    </xf>
    <xf numFmtId="0" fontId="7" fillId="4" borderId="2" xfId="0" applyFont="1" applyFill="1" applyBorder="1"/>
    <xf numFmtId="0" fontId="7" fillId="4" borderId="3" xfId="0" applyFont="1" applyFill="1" applyBorder="1"/>
    <xf numFmtId="0" fontId="7" fillId="4" borderId="0" xfId="0" applyNumberFormat="1" applyFont="1" applyFill="1"/>
    <xf numFmtId="0" fontId="7" fillId="4" borderId="0" xfId="0" applyFont="1" applyFill="1"/>
    <xf numFmtId="0" fontId="0" fillId="4" borderId="0" xfId="0" applyFont="1" applyFill="1" applyAlignment="1"/>
    <xf numFmtId="0" fontId="0" fillId="4" borderId="0" xfId="0" applyFont="1" applyFill="1"/>
    <xf numFmtId="0" fontId="7" fillId="4" borderId="5" xfId="0" applyNumberFormat="1" applyFont="1" applyFill="1" applyBorder="1"/>
    <xf numFmtId="0" fontId="0" fillId="0" borderId="0" xfId="0" applyAlignment="1">
      <alignment vertical="top"/>
    </xf>
    <xf numFmtId="0" fontId="7" fillId="4" borderId="5" xfId="0" applyFont="1" applyFill="1" applyBorder="1"/>
    <xf numFmtId="0" fontId="18" fillId="0" borderId="0" xfId="0" applyFont="1" applyAlignment="1">
      <alignment horizontal="left" vertical="center" indent="1"/>
    </xf>
    <xf numFmtId="0" fontId="19" fillId="0" borderId="0" xfId="0" applyFont="1" applyAlignment="1">
      <alignment vertical="center"/>
    </xf>
    <xf numFmtId="0" fontId="7" fillId="6" borderId="0" xfId="0" applyFont="1" applyFill="1" applyAlignment="1">
      <alignment vertical="center" wrapText="1"/>
    </xf>
    <xf numFmtId="0" fontId="7" fillId="4" borderId="0" xfId="0" applyFont="1" applyFill="1" applyAlignment="1">
      <alignment vertical="center" wrapText="1"/>
    </xf>
    <xf numFmtId="0" fontId="20" fillId="0" borderId="0" xfId="0" applyFont="1"/>
    <xf numFmtId="0" fontId="7" fillId="0" borderId="0" xfId="0" applyFont="1" applyAlignment="1">
      <alignment horizontal="right"/>
    </xf>
    <xf numFmtId="0" fontId="10" fillId="8" borderId="4" xfId="0" applyFont="1" applyFill="1" applyBorder="1" applyAlignment="1">
      <alignment horizontal="left"/>
    </xf>
    <xf numFmtId="0" fontId="0" fillId="0" borderId="0" xfId="0" pivotButton="1"/>
    <xf numFmtId="2" fontId="0" fillId="0" borderId="0" xfId="0" applyNumberFormat="1"/>
    <xf numFmtId="2" fontId="2" fillId="0" borderId="0" xfId="0" applyNumberFormat="1" applyFont="1"/>
    <xf numFmtId="2" fontId="0" fillId="4" borderId="0" xfId="0" applyNumberFormat="1" applyFill="1"/>
    <xf numFmtId="14" fontId="0" fillId="4" borderId="0" xfId="0" applyNumberFormat="1" applyFill="1"/>
    <xf numFmtId="22" fontId="0" fillId="4" borderId="0" xfId="0" applyNumberFormat="1" applyFill="1"/>
    <xf numFmtId="0" fontId="0" fillId="4" borderId="0" xfId="0" applyFill="1"/>
    <xf numFmtId="164" fontId="0" fillId="4" borderId="0" xfId="0" applyNumberFormat="1" applyFill="1"/>
    <xf numFmtId="2" fontId="2" fillId="4" borderId="0" xfId="0" applyNumberFormat="1" applyFont="1" applyFill="1"/>
    <xf numFmtId="2" fontId="0" fillId="4" borderId="0" xfId="0" applyNumberFormat="1" applyFill="1" applyBorder="1"/>
    <xf numFmtId="22" fontId="0" fillId="0" borderId="0" xfId="0" applyNumberFormat="1"/>
    <xf numFmtId="0" fontId="0" fillId="0" borderId="0" xfId="0" applyNumberFormat="1"/>
    <xf numFmtId="0" fontId="7" fillId="6" borderId="0" xfId="0" applyFont="1" applyFill="1" applyAlignment="1">
      <alignment horizontal="left" vertical="center" wrapText="1"/>
    </xf>
    <xf numFmtId="0" fontId="7" fillId="2" borderId="3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top" wrapText="1"/>
    </xf>
    <xf numFmtId="0" fontId="7" fillId="4" borderId="0" xfId="0" applyFont="1" applyFill="1" applyAlignment="1">
      <alignment horizontal="left" vertical="center" wrapText="1"/>
    </xf>
  </cellXfs>
  <cellStyles count="12">
    <cellStyle name="Normal" xfId="0" builtinId="0"/>
    <cellStyle name="Normal 2" xfId="1"/>
    <cellStyle name="Normal 2 2" xfId="2"/>
    <cellStyle name="Normal 2 2 2" xfId="7"/>
    <cellStyle name="Normal 2 2 3" xfId="9"/>
    <cellStyle name="Normal 2 2 4" xfId="11"/>
    <cellStyle name="Normal 2 3" xfId="3"/>
    <cellStyle name="Normal 2 4" xfId="4"/>
    <cellStyle name="Normal 2 5" xfId="6"/>
    <cellStyle name="Normal 2 6" xfId="8"/>
    <cellStyle name="Normal 2 7" xfId="10"/>
    <cellStyle name="RefTable" xfId="5"/>
  </cellStyles>
  <dxfs count="58">
    <dxf>
      <numFmt numFmtId="2" formatCode="0.00"/>
      <border diagonalUp="0" diagonalDown="0" outline="0">
        <left/>
        <right/>
        <top/>
        <bottom/>
      </border>
    </dxf>
    <dxf>
      <numFmt numFmtId="2" formatCode="0.00"/>
    </dxf>
    <dxf>
      <numFmt numFmtId="2" formatCode="0.00"/>
      <fill>
        <patternFill patternType="solid">
          <fgColor indexed="64"/>
          <bgColor theme="0" tint="-0.14999847407452621"/>
        </patternFill>
      </fill>
    </dxf>
    <dxf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0" tint="-0.14996795556505021"/>
        </patternFill>
      </fill>
    </dxf>
    <dxf>
      <fill>
        <patternFill>
          <bgColor theme="5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6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 outline="0">
        <left/>
        <right/>
        <top/>
        <bottom/>
      </border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0"/>
      </font>
      <fill>
        <patternFill>
          <bgColor theme="4"/>
        </patternFill>
      </fill>
    </dxf>
    <dxf>
      <border diagonalUp="0" diagonalDown="0">
        <left/>
        <right/>
        <top/>
        <bottom style="thin">
          <color theme="0" tint="-0.34998626667073579"/>
        </bottom>
        <vertical/>
        <horizontal style="thin">
          <color theme="0" tint="-0.34998626667073579"/>
        </horizontal>
      </border>
    </dxf>
    <dxf>
      <fill>
        <patternFill>
          <bgColor rgb="FFE6E6E6"/>
        </patternFill>
      </fill>
    </dxf>
    <dxf>
      <font>
        <b/>
        <i val="0"/>
      </font>
      <fill>
        <patternFill>
          <bgColor rgb="FFF0EBDC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rgb="FF999966"/>
        </top>
        <bottom style="thin">
          <color rgb="FF999966"/>
        </bottom>
        <vertical style="thin">
          <color theme="2" tint="-0.24994659260841701"/>
        </vertical>
        <horizontal style="thin">
          <color theme="2" tint="-0.24994659260841701"/>
        </horizontal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  <dxf>
      <font>
        <b/>
        <i val="0"/>
      </font>
      <fill>
        <patternFill>
          <bgColor rgb="FFF0EBDC"/>
        </patternFill>
      </fill>
      <border>
        <top style="thin">
          <color rgb="FF999966"/>
        </top>
        <bottom style="thin">
          <color rgb="FF999966"/>
        </bottom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  <dxf>
      <font>
        <b/>
        <i val="0"/>
      </font>
      <fill>
        <patternFill>
          <bgColor rgb="FFF0EBDC"/>
        </patternFill>
      </fill>
      <border>
        <top style="thin">
          <color rgb="FF999966"/>
        </top>
        <bottom style="thin">
          <color rgb="FF999966"/>
        </bottom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  <dxf>
      <font>
        <b/>
        <i val="0"/>
      </font>
      <fill>
        <patternFill>
          <bgColor rgb="FFF0EBDC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rgb="FF999966"/>
        </top>
        <bottom style="thin">
          <color rgb="FF999966"/>
        </bottom>
        <vertical style="thin">
          <color theme="2" tint="-0.24994659260841701"/>
        </vertical>
        <horizontal style="thin">
          <color theme="2" tint="-0.24994659260841701"/>
        </horizontal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  <dxf>
      <fill>
        <patternFill>
          <bgColor rgb="FFE6E6E6"/>
        </patternFill>
      </fill>
    </dxf>
    <dxf>
      <font>
        <b/>
        <i val="0"/>
      </font>
      <fill>
        <patternFill>
          <bgColor rgb="FFF0EBDC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rgb="FF999966"/>
        </top>
        <bottom style="thin">
          <color rgb="FF999966"/>
        </bottom>
        <vertical style="thin">
          <color theme="2" tint="-0.24994659260841701"/>
        </vertical>
        <horizontal style="thin">
          <color theme="2" tint="-0.24994659260841701"/>
        </horizontal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</dxfs>
  <tableStyles count="7" defaultTableStyle="TableStyleMedium9" defaultPivotStyle="PivotStyleLight16">
    <tableStyle name="Capacity" pivot="0" count="4">
      <tableStyleElement type="wholeTable" dxfId="57"/>
      <tableStyleElement type="headerRow" dxfId="56"/>
      <tableStyleElement type="firstColumnStripe" size="2"/>
      <tableStyleElement type="secondColumnStripe" size="9" dxfId="55"/>
    </tableStyle>
    <tableStyle name="Holidays" pivot="0" count="3">
      <tableStyleElement type="wholeTable" dxfId="54"/>
      <tableStyleElement type="headerRow" dxfId="53"/>
      <tableStyleElement type="firstColumnStripe" size="4"/>
    </tableStyle>
    <tableStyle name="Iteration Dates" pivot="0" count="2">
      <tableStyleElement type="wholeTable" dxfId="52"/>
      <tableStyleElement type="headerRow" dxfId="51"/>
    </tableStyle>
    <tableStyle name="PivotTable Style 1" table="0" count="2">
      <tableStyleElement type="wholeTable" dxfId="50"/>
      <tableStyleElement type="headerRow" dxfId="49"/>
    </tableStyle>
    <tableStyle name="Planned Interruptions" pivot="0" count="4">
      <tableStyleElement type="wholeTable" dxfId="48"/>
      <tableStyleElement type="headerRow" dxfId="47"/>
      <tableStyleElement type="firstColumnStripe" size="4"/>
      <tableStyleElement type="secondColumnStripe" size="3" dxfId="46"/>
    </tableStyle>
    <tableStyle name="Iteration Tables" pivot="0" count="2">
      <tableStyleElement type="wholeTable" dxfId="45"/>
      <tableStyleElement type="headerRow" dxfId="44"/>
    </tableStyle>
    <tableStyle name="Bound Table" pivot="0" count="3">
      <tableStyleElement type="wholeTable" dxfId="43"/>
      <tableStyleElement type="headerRow" dxfId="42"/>
      <tableStyleElement type="totalRow" dxfId="41"/>
    </tableStyle>
  </tableStyles>
  <colors>
    <mruColors>
      <color rgb="FF89ABBD"/>
      <color rgb="FFCDED80"/>
      <color rgb="FFD9CFB3"/>
      <color rgb="FFE3D9BB"/>
      <color rgb="FFF0EBDC"/>
      <color rgb="FFF2F2F2"/>
      <color rgb="FFE6E6E6"/>
      <color rgb="FFC0C0C0"/>
      <color rgb="FF0033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Individual</a:t>
            </a:r>
            <a:r>
              <a:rPr lang="en-US" sz="1400" baseline="0"/>
              <a:t> Capacity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Capacity!$G$28</c:f>
              <c:strCache>
                <c:ptCount val="1"/>
                <c:pt idx="0">
                  <c:v>Utilized</c:v>
                </c:pt>
              </c:strCache>
            </c:strRef>
          </c:tx>
          <c:invertIfNegative val="0"/>
          <c:cat>
            <c:numRef>
              <c:f>Capacity!$B$29:$B$32</c:f>
              <c:numCache>
                <c:formatCode>General</c:formatCode>
                <c:ptCount val="4"/>
              </c:numCache>
            </c:numRef>
          </c:cat>
          <c:val>
            <c:numRef>
              <c:f>Capacity!$G$29:$G$32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Capacity!$H$28</c:f>
              <c:strCache>
                <c:ptCount val="1"/>
                <c:pt idx="0">
                  <c:v>Over</c:v>
                </c:pt>
              </c:strCache>
            </c:strRef>
          </c:tx>
          <c:invertIfNegative val="0"/>
          <c:cat>
            <c:numRef>
              <c:f>Capacity!$B$29:$B$32</c:f>
              <c:numCache>
                <c:formatCode>General</c:formatCode>
                <c:ptCount val="4"/>
              </c:numCache>
            </c:numRef>
          </c:cat>
          <c:val>
            <c:numRef>
              <c:f>Capacity!$H$29:$H$32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Capacity!$I$28</c:f>
              <c:strCache>
                <c:ptCount val="1"/>
                <c:pt idx="0">
                  <c:v>Under</c:v>
                </c:pt>
              </c:strCache>
            </c:strRef>
          </c:tx>
          <c:invertIfNegative val="0"/>
          <c:cat>
            <c:numRef>
              <c:f>Capacity!$B$29:$B$32</c:f>
              <c:numCache>
                <c:formatCode>General</c:formatCode>
                <c:ptCount val="4"/>
              </c:numCache>
            </c:numRef>
          </c:cat>
          <c:val>
            <c:numRef>
              <c:f>Capacity!$I$29:$I$32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4980736"/>
        <c:axId val="46952384"/>
      </c:barChart>
      <c:catAx>
        <c:axId val="4498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6952384"/>
        <c:crosses val="autoZero"/>
        <c:auto val="1"/>
        <c:lblAlgn val="ctr"/>
        <c:lblOffset val="100"/>
        <c:noMultiLvlLbl val="0"/>
      </c:catAx>
      <c:valAx>
        <c:axId val="469523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4980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Team Capacity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Capacity!$B$10</c:f>
              <c:strCache>
                <c:ptCount val="1"/>
                <c:pt idx="0">
                  <c:v>Utilized</c:v>
                </c:pt>
              </c:strCache>
            </c:strRef>
          </c:tx>
          <c:invertIfNegative val="0"/>
          <c:dLbls>
            <c:delete val="1"/>
          </c:dLbls>
          <c:cat>
            <c:strLit>
              <c:ptCount val="1"/>
              <c:pt idx="0">
                <c:v>Hours</c:v>
              </c:pt>
            </c:strLit>
          </c:cat>
          <c:val>
            <c:numRef>
              <c:f>Capacity!$C$10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Capacity!$B$11</c:f>
              <c:strCache>
                <c:ptCount val="1"/>
                <c:pt idx="0">
                  <c:v>Over</c:v>
                </c:pt>
              </c:strCache>
            </c:strRef>
          </c:tx>
          <c:invertIfNegative val="0"/>
          <c:dLbls>
            <c:delete val="1"/>
          </c:dLbls>
          <c:cat>
            <c:strLit>
              <c:ptCount val="1"/>
              <c:pt idx="0">
                <c:v>Hours</c:v>
              </c:pt>
            </c:strLit>
          </c:cat>
          <c:val>
            <c:numRef>
              <c:f>Capacity!$C$11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Capacity!$B$12</c:f>
              <c:strCache>
                <c:ptCount val="1"/>
                <c:pt idx="0">
                  <c:v>Under</c:v>
                </c:pt>
              </c:strCache>
            </c:strRef>
          </c:tx>
          <c:invertIfNegative val="0"/>
          <c:dLbls>
            <c:delete val="1"/>
          </c:dLbls>
          <c:cat>
            <c:strLit>
              <c:ptCount val="1"/>
              <c:pt idx="0">
                <c:v>Hours</c:v>
              </c:pt>
            </c:strLit>
          </c:cat>
          <c:val>
            <c:numRef>
              <c:f>Capacity!$C$12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60106752"/>
        <c:axId val="46954688"/>
      </c:barChart>
      <c:catAx>
        <c:axId val="60106752"/>
        <c:scaling>
          <c:orientation val="minMax"/>
        </c:scaling>
        <c:delete val="0"/>
        <c:axPos val="l"/>
        <c:majorTickMark val="none"/>
        <c:minorTickMark val="none"/>
        <c:tickLblPos val="nextTo"/>
        <c:crossAx val="46954688"/>
        <c:crosses val="autoZero"/>
        <c:auto val="1"/>
        <c:lblAlgn val="ctr"/>
        <c:lblOffset val="100"/>
        <c:noMultiLvlLbl val="0"/>
      </c:catAx>
      <c:valAx>
        <c:axId val="4695468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0106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Burndown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BurndownData!RemainingWorkCaption</c:f>
              <c:strCache>
                <c:ptCount val="1"/>
                <c:pt idx="0">
                  <c:v>Remaining Work</c:v>
                </c:pt>
              </c:strCache>
            </c:strRef>
          </c:tx>
          <c:spPr>
            <a:solidFill>
              <a:srgbClr xmlns:mc="http://schemas.openxmlformats.org/markup-compatibility/2006" xmlns:a14="http://schemas.microsoft.com/office/drawing/2010/main" val="89ABBD" mc:Ignorable="">
                <a:alpha val="89804"/>
              </a:srgbClr>
            </a:solidFill>
          </c:spPr>
          <c:cat>
            <c:numRef>
              <c:f>BurndownData!BurndownDates</c:f>
              <c:numCache>
                <c:formatCode>m/d/yyyy\ h:mm</c:formatCode>
                <c:ptCount val="32"/>
                <c:pt idx="0">
                  <c:v>40026</c:v>
                </c:pt>
                <c:pt idx="1">
                  <c:v>40027</c:v>
                </c:pt>
                <c:pt idx="2">
                  <c:v>40028</c:v>
                </c:pt>
                <c:pt idx="3">
                  <c:v>40029</c:v>
                </c:pt>
                <c:pt idx="4">
                  <c:v>40030</c:v>
                </c:pt>
                <c:pt idx="5">
                  <c:v>40031</c:v>
                </c:pt>
                <c:pt idx="6">
                  <c:v>40032</c:v>
                </c:pt>
                <c:pt idx="7">
                  <c:v>40033</c:v>
                </c:pt>
                <c:pt idx="8">
                  <c:v>40034</c:v>
                </c:pt>
                <c:pt idx="9">
                  <c:v>40035</c:v>
                </c:pt>
                <c:pt idx="10">
                  <c:v>40036</c:v>
                </c:pt>
                <c:pt idx="11">
                  <c:v>40037</c:v>
                </c:pt>
                <c:pt idx="12">
                  <c:v>40038</c:v>
                </c:pt>
                <c:pt idx="13">
                  <c:v>40039</c:v>
                </c:pt>
                <c:pt idx="14">
                  <c:v>40040</c:v>
                </c:pt>
                <c:pt idx="15">
                  <c:v>40041</c:v>
                </c:pt>
                <c:pt idx="16">
                  <c:v>40042</c:v>
                </c:pt>
                <c:pt idx="17">
                  <c:v>40043</c:v>
                </c:pt>
                <c:pt idx="18">
                  <c:v>40044</c:v>
                </c:pt>
                <c:pt idx="19">
                  <c:v>40045</c:v>
                </c:pt>
                <c:pt idx="20">
                  <c:v>40046</c:v>
                </c:pt>
                <c:pt idx="21">
                  <c:v>40047</c:v>
                </c:pt>
                <c:pt idx="22">
                  <c:v>40048</c:v>
                </c:pt>
                <c:pt idx="23">
                  <c:v>40049</c:v>
                </c:pt>
                <c:pt idx="24">
                  <c:v>40050</c:v>
                </c:pt>
                <c:pt idx="25">
                  <c:v>40051</c:v>
                </c:pt>
                <c:pt idx="26">
                  <c:v>40052</c:v>
                </c:pt>
                <c:pt idx="27">
                  <c:v>40053</c:v>
                </c:pt>
                <c:pt idx="28">
                  <c:v>40054</c:v>
                </c:pt>
                <c:pt idx="29">
                  <c:v>40055</c:v>
                </c:pt>
                <c:pt idx="30">
                  <c:v>40056</c:v>
                </c:pt>
                <c:pt idx="31">
                  <c:v>40057</c:v>
                </c:pt>
              </c:numCache>
            </c:numRef>
          </c:cat>
          <c:val>
            <c:numRef>
              <c:f>BurndownData!BurndownRemainingWork</c:f>
              <c:numCache>
                <c:formatCode>#,##0.0##</c:formatCode>
                <c:ptCount val="32"/>
              </c:numCache>
            </c:numRef>
          </c:val>
        </c:ser>
        <c:ser>
          <c:idx val="1"/>
          <c:order val="1"/>
          <c:tx>
            <c:strRef>
              <c:f>BurndownData!CompletedWorkCaption</c:f>
              <c:strCache>
                <c:ptCount val="1"/>
                <c:pt idx="0">
                  <c:v>Completed Work</c:v>
                </c:pt>
              </c:strCache>
            </c:strRef>
          </c:tx>
          <c:spPr>
            <a:solidFill>
              <a:srgbClr xmlns:mc="http://schemas.openxmlformats.org/markup-compatibility/2006" xmlns:a14="http://schemas.microsoft.com/office/drawing/2010/main" val="CDED80" mc:Ignorable="">
                <a:alpha val="89804"/>
              </a:srgbClr>
            </a:solidFill>
          </c:spPr>
          <c:cat>
            <c:numRef>
              <c:f>BurndownData!BurndownDates</c:f>
              <c:numCache>
                <c:formatCode>m/d/yyyy\ h:mm</c:formatCode>
                <c:ptCount val="32"/>
                <c:pt idx="0">
                  <c:v>40026</c:v>
                </c:pt>
                <c:pt idx="1">
                  <c:v>40027</c:v>
                </c:pt>
                <c:pt idx="2">
                  <c:v>40028</c:v>
                </c:pt>
                <c:pt idx="3">
                  <c:v>40029</c:v>
                </c:pt>
                <c:pt idx="4">
                  <c:v>40030</c:v>
                </c:pt>
                <c:pt idx="5">
                  <c:v>40031</c:v>
                </c:pt>
                <c:pt idx="6">
                  <c:v>40032</c:v>
                </c:pt>
                <c:pt idx="7">
                  <c:v>40033</c:v>
                </c:pt>
                <c:pt idx="8">
                  <c:v>40034</c:v>
                </c:pt>
                <c:pt idx="9">
                  <c:v>40035</c:v>
                </c:pt>
                <c:pt idx="10">
                  <c:v>40036</c:v>
                </c:pt>
                <c:pt idx="11">
                  <c:v>40037</c:v>
                </c:pt>
                <c:pt idx="12">
                  <c:v>40038</c:v>
                </c:pt>
                <c:pt idx="13">
                  <c:v>40039</c:v>
                </c:pt>
                <c:pt idx="14">
                  <c:v>40040</c:v>
                </c:pt>
                <c:pt idx="15">
                  <c:v>40041</c:v>
                </c:pt>
                <c:pt idx="16">
                  <c:v>40042</c:v>
                </c:pt>
                <c:pt idx="17">
                  <c:v>40043</c:v>
                </c:pt>
                <c:pt idx="18">
                  <c:v>40044</c:v>
                </c:pt>
                <c:pt idx="19">
                  <c:v>40045</c:v>
                </c:pt>
                <c:pt idx="20">
                  <c:v>40046</c:v>
                </c:pt>
                <c:pt idx="21">
                  <c:v>40047</c:v>
                </c:pt>
                <c:pt idx="22">
                  <c:v>40048</c:v>
                </c:pt>
                <c:pt idx="23">
                  <c:v>40049</c:v>
                </c:pt>
                <c:pt idx="24">
                  <c:v>40050</c:v>
                </c:pt>
                <c:pt idx="25">
                  <c:v>40051</c:v>
                </c:pt>
                <c:pt idx="26">
                  <c:v>40052</c:v>
                </c:pt>
                <c:pt idx="27">
                  <c:v>40053</c:v>
                </c:pt>
                <c:pt idx="28">
                  <c:v>40054</c:v>
                </c:pt>
                <c:pt idx="29">
                  <c:v>40055</c:v>
                </c:pt>
                <c:pt idx="30">
                  <c:v>40056</c:v>
                </c:pt>
                <c:pt idx="31">
                  <c:v>40057</c:v>
                </c:pt>
              </c:numCache>
            </c:numRef>
          </c:cat>
          <c:val>
            <c:numRef>
              <c:f>BurndownData!BurndownCompletedWork</c:f>
              <c:numCache>
                <c:formatCode>#,##0.0##</c:formatCode>
                <c:ptCount val="3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5072"/>
        <c:axId val="61792832"/>
      </c:areaChart>
      <c:lineChart>
        <c:grouping val="standard"/>
        <c:varyColors val="0"/>
        <c:ser>
          <c:idx val="2"/>
          <c:order val="2"/>
          <c:tx>
            <c:strRef>
              <c:f>BurndownData!TrendCaption</c:f>
              <c:strCache>
                <c:ptCount val="1"/>
                <c:pt idx="0">
                  <c:v>Trend Line</c:v>
                </c:pt>
              </c:strCache>
            </c:strRef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cat>
            <c:multiLvlStrRef>
              <c:f>BurndownData!#REF!</c:f>
            </c:multiLvlStrRef>
          </c:cat>
          <c:val>
            <c:numRef>
              <c:f>BurndownData!$A$11:$A$42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5072"/>
        <c:axId val="61792832"/>
      </c:lineChart>
      <c:dateAx>
        <c:axId val="46915072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mmm\ \ d" sourceLinked="0"/>
        <c:majorTickMark val="none"/>
        <c:minorTickMark val="none"/>
        <c:tickLblPos val="nextTo"/>
        <c:spPr>
          <a:ln>
            <a:solidFill>
              <a:sysClr val="window" lastClr="FFFFFF">
                <a:lumMod val="85000"/>
              </a:sysClr>
            </a:solidFill>
          </a:ln>
        </c:spPr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Calibri" pitchFamily="34" charset="0"/>
              </a:defRPr>
            </a:pPr>
            <a:endParaRPr lang="en-US"/>
          </a:p>
        </c:txPr>
        <c:crossAx val="61792832"/>
        <c:crosses val="autoZero"/>
        <c:auto val="1"/>
        <c:lblOffset val="10"/>
        <c:baseTimeUnit val="days"/>
        <c:noMultiLvlLbl val="0"/>
      </c:dateAx>
      <c:valAx>
        <c:axId val="6179283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>
            <a:solidFill>
              <a:sysClr val="window" lastClr="FFFFFF">
                <a:lumMod val="85000"/>
              </a:sys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  <a:latin typeface="Calibri" pitchFamily="34" charset="0"/>
              </a:defRPr>
            </a:pPr>
            <a:endParaRPr lang="en-US"/>
          </a:p>
        </c:txPr>
        <c:crossAx val="46915072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20918701617993954"/>
          <c:y val="9.5170175156678263E-2"/>
          <c:w val="0.58162596764012164"/>
          <c:h val="4.9205206492045683E-2"/>
        </c:manualLayout>
      </c:layout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0</xdr:row>
      <xdr:rowOff>161924</xdr:rowOff>
    </xdr:from>
    <xdr:to>
      <xdr:col>11</xdr:col>
      <xdr:colOff>600076</xdr:colOff>
      <xdr:row>1</xdr:row>
      <xdr:rowOff>0</xdr:rowOff>
    </xdr:to>
    <xdr:sp macro="[0]!ToggleGuidance" textlink="">
      <xdr:nvSpPr>
        <xdr:cNvPr id="3" name="GuidanceButton"/>
        <xdr:cNvSpPr txBox="1"/>
      </xdr:nvSpPr>
      <xdr:spPr>
        <a:xfrm>
          <a:off x="7229475" y="161924"/>
          <a:ext cx="1123951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0</xdr:row>
      <xdr:rowOff>133350</xdr:rowOff>
    </xdr:from>
    <xdr:to>
      <xdr:col>6</xdr:col>
      <xdr:colOff>857251</xdr:colOff>
      <xdr:row>0</xdr:row>
      <xdr:rowOff>352426</xdr:rowOff>
    </xdr:to>
    <xdr:sp macro="[0]!ToggleGuidance" textlink="">
      <xdr:nvSpPr>
        <xdr:cNvPr id="2" name="GuidanceButton"/>
        <xdr:cNvSpPr txBox="1"/>
      </xdr:nvSpPr>
      <xdr:spPr>
        <a:xfrm>
          <a:off x="6286500" y="133350"/>
          <a:ext cx="1123951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301843</xdr:colOff>
      <xdr:row>13</xdr:row>
      <xdr:rowOff>161926</xdr:rowOff>
    </xdr:from>
    <xdr:to>
      <xdr:col>8</xdr:col>
      <xdr:colOff>714374</xdr:colOff>
      <xdr:row>25</xdr:row>
      <xdr:rowOff>38100</xdr:rowOff>
    </xdr:to>
    <xdr:graphicFrame macro="">
      <xdr:nvGraphicFramePr>
        <xdr:cNvPr id="5" name="Individual Capacit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221499</xdr:colOff>
      <xdr:row>6</xdr:row>
      <xdr:rowOff>11906</xdr:rowOff>
    </xdr:from>
    <xdr:to>
      <xdr:col>9</xdr:col>
      <xdr:colOff>0</xdr:colOff>
      <xdr:row>12</xdr:row>
      <xdr:rowOff>11906</xdr:rowOff>
    </xdr:to>
    <xdr:graphicFrame macro="">
      <xdr:nvGraphicFramePr>
        <xdr:cNvPr id="7" name="Team Capacit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304800</xdr:colOff>
      <xdr:row>0</xdr:row>
      <xdr:rowOff>152400</xdr:rowOff>
    </xdr:from>
    <xdr:to>
      <xdr:col>9</xdr:col>
      <xdr:colOff>1</xdr:colOff>
      <xdr:row>0</xdr:row>
      <xdr:rowOff>371476</xdr:rowOff>
    </xdr:to>
    <xdr:sp macro="[0]!ToggleGuidance" textlink="">
      <xdr:nvSpPr>
        <xdr:cNvPr id="4" name="GuidanceButton"/>
        <xdr:cNvSpPr txBox="1"/>
      </xdr:nvSpPr>
      <xdr:spPr>
        <a:xfrm>
          <a:off x="7172325" y="152400"/>
          <a:ext cx="1123951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5</xdr:row>
      <xdr:rowOff>38100</xdr:rowOff>
    </xdr:from>
    <xdr:ext cx="1533525" cy="248851"/>
    <xdr:sp macro="[0]!Burndown.ForceUpdate" textlink="">
      <xdr:nvSpPr>
        <xdr:cNvPr id="3" name="TextBox 2"/>
        <xdr:cNvSpPr txBox="1"/>
      </xdr:nvSpPr>
      <xdr:spPr>
        <a:xfrm>
          <a:off x="2533650" y="1343025"/>
          <a:ext cx="153352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000" u="sng">
              <a:solidFill>
                <a:srgbClr xmlns:mc="http://schemas.openxmlformats.org/markup-compatibility/2006" xmlns:a14="http://schemas.microsoft.com/office/drawing/2010/main" val="0033CC" mc:Ignorable=""/>
              </a:solidFill>
              <a:latin typeface="+mn-lt"/>
              <a:cs typeface="Tahoma" pitchFamily="34" charset="0"/>
            </a:rPr>
            <a:t>Update Now...</a:t>
          </a:r>
        </a:p>
      </xdr:txBody>
    </xdr:sp>
    <xdr:clientData/>
  </xdr:oneCellAnchor>
  <xdr:twoCellAnchor>
    <xdr:from>
      <xdr:col>0</xdr:col>
      <xdr:colOff>304800</xdr:colOff>
      <xdr:row>8</xdr:row>
      <xdr:rowOff>133350</xdr:rowOff>
    </xdr:from>
    <xdr:to>
      <xdr:col>7</xdr:col>
      <xdr:colOff>819150</xdr:colOff>
      <xdr:row>35</xdr:row>
      <xdr:rowOff>133350</xdr:rowOff>
    </xdr:to>
    <xdr:graphicFrame macro="">
      <xdr:nvGraphicFramePr>
        <xdr:cNvPr id="6" name="Burndow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942975</xdr:colOff>
      <xdr:row>0</xdr:row>
      <xdr:rowOff>161925</xdr:rowOff>
    </xdr:from>
    <xdr:to>
      <xdr:col>9</xdr:col>
      <xdr:colOff>104776</xdr:colOff>
      <xdr:row>1</xdr:row>
      <xdr:rowOff>1</xdr:rowOff>
    </xdr:to>
    <xdr:sp macro="[0]!ToggleGuidance" textlink="">
      <xdr:nvSpPr>
        <xdr:cNvPr id="4" name="GuidanceButton"/>
        <xdr:cNvSpPr txBox="1"/>
      </xdr:nvSpPr>
      <xdr:spPr>
        <a:xfrm>
          <a:off x="7200900" y="161925"/>
          <a:ext cx="1123951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5</xdr:row>
          <xdr:rowOff>57150</xdr:rowOff>
        </xdr:from>
        <xdr:to>
          <xdr:col>7</xdr:col>
          <xdr:colOff>762000</xdr:colOff>
          <xdr:row>6</xdr:row>
          <xdr:rowOff>114300</xdr:rowOff>
        </xdr:to>
        <xdr:sp macro="" textlink="">
          <xdr:nvSpPr>
            <xdr:cNvPr id="2049" name="AutomaticUpda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Automatic Chart Update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hor" refreshedDate="40163.674396527778" createdVersion="3" refreshedVersion="3" minRefreshableVersion="3" recordCount="0" supportSubquery="1" supportAdvancedDrill="1">
  <cacheSource type="external" connectionId="1"/>
  <cacheFields count="74">
    <cacheField name="[Team Project].[Team Project Hierarchy].[Collection]" caption="Collection" numFmtId="0" hierarchy="23" level="1">
      <sharedItems containsSemiMixedTypes="0" containsString="0"/>
    </cacheField>
    <cacheField name="[Team Project].[Team Project Hierarchy].[Team Project]" caption="Team Project" numFmtId="0" hierarchy="23" level="2">
      <sharedItems containsSemiMixedTypes="0" containsString="0"/>
    </cacheField>
    <cacheField name="[Team Project].[Team Project Hierarchy].[Is Deleted]" caption="Is Deleted" propertyName="Is Deleted" numFmtId="0" hierarchy="23" level="32767" memberPropertyField="1">
      <sharedItems containsSemiMixedTypes="0" containsString="0"/>
    </cacheField>
    <cacheField name="[Team Project].[Team Project Hierarchy].[Project Node Name]" caption="Name" propertyName="Project Node Name" numFmtId="0" hierarchy="23" level="32767" memberPropertyField="1">
      <sharedItems containsSemiMixedTypes="0" containsString="0"/>
    </cacheField>
    <cacheField name="[Team Project].[Team Project Hierarchy].[Project Node Type]" caption="Project Node Type Name" propertyName="Project Node Type" numFmtId="0" hierarchy="23" level="32767" memberPropertyField="1">
      <sharedItems containsSemiMixedTypes="0" containsString="0"/>
    </cacheField>
    <cacheField name="[Team Project].[Team Project Hierarchy].[Project Path]" caption="Project Path" propertyName="Project Path" numFmtId="0" hierarchy="23" level="32767" memberPropertyField="1">
      <sharedItems containsSemiMixedTypes="0" containsString="0"/>
    </cacheField>
    <cacheField name="[Team Project].[Team Project Hierarchy].[ProjectNodeSk]" caption="Name" propertyName="ProjectNodeSk" numFmtId="0" hierarchy="23" level="32767" memberPropertyField="1">
      <sharedItems containsSemiMixedTypes="0" containsString="0"/>
    </cacheField>
    <cacheField name="[Team Project].[Team Project Hierarchy].[Team Project Hierarchy]" caption="Team Project Hierarchy" propertyName="Team Project Hierarchy" numFmtId="0" hierarchy="23" level="32767" memberPropertyField="1">
      <sharedItems containsSemiMixedTypes="0" containsString="0"/>
    </cacheField>
    <cacheField name="[Work Item].[Area Hierarchy].[Team Project Collection]" caption="Team Project Collection" numFmtId="0" hierarchy="134" level="1">
      <sharedItems containsSemiMixedTypes="0" containsString="0"/>
    </cacheField>
    <cacheField name="[Work Item].[Area Hierarchy].[Area0]" caption="Area0" numFmtId="0" hierarchy="134" level="2">
      <sharedItems containsSemiMixedTypes="0" containsString="0"/>
    </cacheField>
    <cacheField name="[Work Item].[Area Hierarchy].[Area1]" caption="Area1" numFmtId="0" hierarchy="134" level="3">
      <sharedItems containsSemiMixedTypes="0" containsString="0"/>
    </cacheField>
    <cacheField name="[Work Item].[Area Hierarchy].[Area2]" caption="Area2" numFmtId="0" hierarchy="134" level="4">
      <sharedItems containsSemiMixedTypes="0" containsString="0"/>
    </cacheField>
    <cacheField name="[Work Item].[Area Hierarchy].[Area3]" caption="Area3" numFmtId="0" hierarchy="134" level="5">
      <sharedItems containsSemiMixedTypes="0" containsString="0"/>
    </cacheField>
    <cacheField name="[Work Item].[Area Hierarchy].[Area4]" caption="Area4" numFmtId="0" hierarchy="134" level="6">
      <sharedItems containsSemiMixedTypes="0" containsString="0"/>
    </cacheField>
    <cacheField name="[Work Item].[Area Hierarchy].[Area5]" caption="Area5" numFmtId="0" hierarchy="134" level="7">
      <sharedItems containsSemiMixedTypes="0" containsString="0"/>
    </cacheField>
    <cacheField name="[Work Item].[Area Hierarchy].[Area6]" caption="Area6" numFmtId="0" hierarchy="134" level="8">
      <sharedItems containsSemiMixedTypes="0" containsString="0"/>
    </cacheField>
    <cacheField name="[Work Item].[Area Hierarchy].[Area7]" caption="Area7" numFmtId="0" hierarchy="134" level="9">
      <sharedItems containsSemiMixedTypes="0" containsString="0"/>
    </cacheField>
    <cacheField name="[Work Item].[Area Hierarchy].[Area8]" caption="Area8" numFmtId="0" hierarchy="134" level="10">
      <sharedItems containsSemiMixedTypes="0" containsString="0"/>
    </cacheField>
    <cacheField name="[Work Item].[Area Hierarchy].[Area9]" caption="Area9" numFmtId="0" hierarchy="134" level="11">
      <sharedItems containsSemiMixedTypes="0" containsString="0"/>
    </cacheField>
    <cacheField name="[Work Item].[Area Hierarchy].[Area10]" caption="Area10" numFmtId="0" hierarchy="134" level="12">
      <sharedItems containsSemiMixedTypes="0" containsString="0"/>
    </cacheField>
    <cacheField name="[Work Item].[Area Hierarchy].[Area11]" caption="Area11" numFmtId="0" hierarchy="134" level="13">
      <sharedItems containsSemiMixedTypes="0" containsString="0"/>
    </cacheField>
    <cacheField name="[Work Item].[Area Hierarchy].[Area12]" caption="Area12" numFmtId="0" hierarchy="134" level="14">
      <sharedItems containsSemiMixedTypes="0" containsString="0"/>
    </cacheField>
    <cacheField name="[Work Item].[Area Hierarchy].[Area13]" caption="Area13" numFmtId="0" hierarchy="134" level="15">
      <sharedItems containsSemiMixedTypes="0" containsString="0"/>
    </cacheField>
    <cacheField name="[Work Item].[Area Hierarchy].[Area0].[Area Team Project Collection]" caption="Team Project Collection" propertyName="Area Team Project Collection" numFmtId="0" hierarchy="134" level="2" memberPropertyField="1">
      <sharedItems containsSemiMixedTypes="0" containsString="0"/>
    </cacheField>
    <cacheField name="[Work Item].[Area Hierarchy].[Area1].[Area0]" caption="Area0" propertyName="Area0" numFmtId="0" hierarchy="134" level="3" memberPropertyField="1">
      <sharedItems containsSemiMixedTypes="0" containsString="0"/>
    </cacheField>
    <cacheField name="[Work Item].[Area Hierarchy].[Area2].[Area1]" caption="Area1" propertyName="Area1" numFmtId="0" hierarchy="134" level="4" memberPropertyField="1">
      <sharedItems containsSemiMixedTypes="0" containsString="0"/>
    </cacheField>
    <cacheField name="[Work Item].[Area Hierarchy].[Area3].[Area2]" caption="Area2" propertyName="Area2" numFmtId="0" hierarchy="134" level="5" memberPropertyField="1">
      <sharedItems containsSemiMixedTypes="0" containsString="0"/>
    </cacheField>
    <cacheField name="[Work Item].[Area Hierarchy].[Area4].[Area3]" caption="Area3" propertyName="Area3" numFmtId="0" hierarchy="134" level="6" memberPropertyField="1">
      <sharedItems containsSemiMixedTypes="0" containsString="0"/>
    </cacheField>
    <cacheField name="[Work Item].[Area Hierarchy].[Area5].[Area4]" caption="Area4" propertyName="Area4" numFmtId="0" hierarchy="134" level="7" memberPropertyField="1">
      <sharedItems containsSemiMixedTypes="0" containsString="0"/>
    </cacheField>
    <cacheField name="[Work Item].[Area Hierarchy].[Area6].[Area5]" caption="Area5" propertyName="Area5" numFmtId="0" hierarchy="134" level="8" memberPropertyField="1">
      <sharedItems containsSemiMixedTypes="0" containsString="0"/>
    </cacheField>
    <cacheField name="[Work Item].[Area Hierarchy].[Area7].[Area6]" caption="Area6" propertyName="Area6" numFmtId="0" hierarchy="134" level="9" memberPropertyField="1">
      <sharedItems containsSemiMixedTypes="0" containsString="0"/>
    </cacheField>
    <cacheField name="[Work Item].[Area Hierarchy].[Area8].[Area7]" caption="Area7" propertyName="Area7" numFmtId="0" hierarchy="134" level="10" memberPropertyField="1">
      <sharedItems containsSemiMixedTypes="0" containsString="0"/>
    </cacheField>
    <cacheField name="[Work Item].[Area Hierarchy].[Area9].[Area8]" caption="Area8" propertyName="Area8" numFmtId="0" hierarchy="134" level="11" memberPropertyField="1">
      <sharedItems containsSemiMixedTypes="0" containsString="0"/>
    </cacheField>
    <cacheField name="[Work Item].[Area Hierarchy].[Area10].[Area9]" caption="Area9" propertyName="Area9" numFmtId="0" hierarchy="134" level="12" memberPropertyField="1">
      <sharedItems containsSemiMixedTypes="0" containsString="0"/>
    </cacheField>
    <cacheField name="[Work Item].[Area Hierarchy].[Area11].[Area10]" caption="Area10" propertyName="Area10" numFmtId="0" hierarchy="134" level="13" memberPropertyField="1">
      <sharedItems containsSemiMixedTypes="0" containsString="0"/>
    </cacheField>
    <cacheField name="[Work Item].[Area Hierarchy].[Area12].[Area11]" caption="Area11" propertyName="Area11" numFmtId="0" hierarchy="134" level="14" memberPropertyField="1">
      <sharedItems containsSemiMixedTypes="0" containsString="0"/>
    </cacheField>
    <cacheField name="[Work Item].[Area Hierarchy].[Area13].[Area12]" caption="Area12" propertyName="Area12" numFmtId="0" hierarchy="134" level="15" memberPropertyField="1">
      <sharedItems containsSemiMixedTypes="0" containsString="0"/>
    </cacheField>
    <cacheField name="[Work Item].[System_WorkItemType].[System_WorkItemType]" caption="Work Item Type" numFmtId="0" hierarchy="191" level="1">
      <sharedItems containsSemiMixedTypes="0" containsString="0"/>
    </cacheField>
    <cacheField name="[Work Item].[System_State].[System_State]" caption="State" numFmtId="0" hierarchy="189" level="1">
      <sharedItems containsSemiMixedTypes="0" containsString="0"/>
    </cacheField>
    <cacheField name="[Date].[Date].[Date]" caption="Date" numFmtId="0" hierarchy="13" level="1" mappingCount="2">
      <sharedItems count="32">
        <s v="[Date].[Date].&amp;[2009-08-01T00:00:00]" c="8/1/2009" cp="2">
          <x/>
          <x/>
        </s>
        <s v="[Date].[Date].&amp;[2009-08-02T00:00:00]" c="8/2/2009" cp="2">
          <x/>
          <x v="1"/>
        </s>
        <s v="[Date].[Date].&amp;[2009-08-03T00:00:00]" c="8/3/2009" cp="2">
          <x/>
          <x v="1"/>
        </s>
        <s v="[Date].[Date].&amp;[2009-08-04T00:00:00]" c="8/4/2009" cp="2">
          <x/>
          <x v="1"/>
        </s>
        <s v="[Date].[Date].&amp;[2009-08-05T00:00:00]" c="8/5/2009" cp="2">
          <x/>
          <x v="1"/>
        </s>
        <s v="[Date].[Date].&amp;[2009-08-06T00:00:00]" c="8/6/2009" cp="2">
          <x/>
          <x v="1"/>
        </s>
        <s v="[Date].[Date].&amp;[2009-08-07T00:00:00]" c="8/7/2009" cp="2">
          <x/>
          <x v="1"/>
        </s>
        <s v="[Date].[Date].&amp;[2009-08-08T00:00:00]" c="8/8/2009" cp="2">
          <x/>
          <x v="1"/>
        </s>
        <s v="[Date].[Date].&amp;[2009-08-09T00:00:00]" c="8/9/2009" cp="2">
          <x/>
          <x v="2"/>
        </s>
        <s v="[Date].[Date].&amp;[2009-08-10T00:00:00]" c="8/10/2009" cp="2">
          <x/>
          <x v="2"/>
        </s>
        <s v="[Date].[Date].&amp;[2009-08-11T00:00:00]" c="8/11/2009" cp="2">
          <x/>
          <x v="2"/>
        </s>
        <s v="[Date].[Date].&amp;[2009-08-12T00:00:00]" c="8/12/2009" cp="2">
          <x/>
          <x v="2"/>
        </s>
        <s v="[Date].[Date].&amp;[2009-08-13T00:00:00]" c="8/13/2009" cp="2">
          <x/>
          <x v="2"/>
        </s>
        <s v="[Date].[Date].&amp;[2009-08-14T00:00:00]" c="8/14/2009" cp="2">
          <x/>
          <x v="2"/>
        </s>
        <s v="[Date].[Date].&amp;[2009-08-15T00:00:00]" c="8/15/2009" cp="2">
          <x/>
          <x v="2"/>
        </s>
        <s v="[Date].[Date].&amp;[2009-08-16T00:00:00]" c="8/16/2009" cp="2">
          <x/>
          <x v="3"/>
        </s>
        <s v="[Date].[Date].&amp;[2009-08-17T00:00:00]" c="8/17/2009" cp="2">
          <x/>
          <x v="3"/>
        </s>
        <s v="[Date].[Date].&amp;[2009-08-18T00:00:00]" c="8/18/2009" cp="2">
          <x/>
          <x v="3"/>
        </s>
        <s v="[Date].[Date].&amp;[2009-08-19T00:00:00]" c="8/19/2009" cp="2">
          <x/>
          <x v="3"/>
        </s>
        <s v="[Date].[Date].&amp;[2009-08-20T00:00:00]" c="8/20/2009" cp="2">
          <x/>
          <x v="3"/>
        </s>
        <s v="[Date].[Date].&amp;[2009-08-21T00:00:00]" c="8/21/2009" cp="2">
          <x/>
          <x v="3"/>
        </s>
        <s v="[Date].[Date].&amp;[2009-08-22T00:00:00]" c="8/22/2009" cp="2">
          <x/>
          <x v="3"/>
        </s>
        <s v="[Date].[Date].&amp;[2009-08-23T00:00:00]" c="8/23/2009" cp="2">
          <x/>
          <x v="4"/>
        </s>
        <s v="[Date].[Date].&amp;[2009-08-24T00:00:00]" c="8/24/2009" cp="2">
          <x/>
          <x v="4"/>
        </s>
        <s v="[Date].[Date].&amp;[2009-08-25T00:00:00]" c="8/25/2009" cp="2">
          <x/>
          <x v="4"/>
        </s>
        <s v="[Date].[Date].&amp;[2009-08-26T00:00:00]" c="8/26/2009" cp="2">
          <x/>
          <x v="4"/>
        </s>
        <s v="[Date].[Date].&amp;[2009-08-27T00:00:00]" c="8/27/2009" cp="2">
          <x/>
          <x v="4"/>
        </s>
        <s v="[Date].[Date].&amp;[2009-08-28T00:00:00]" c="8/28/2009" cp="2">
          <x/>
          <x v="4"/>
        </s>
        <s v="[Date].[Date].&amp;[2009-08-29T00:00:00]" c="8/29/2009" cp="2">
          <x/>
          <x v="4"/>
        </s>
        <s v="[Date].[Date].&amp;[2009-08-30T00:00:00]" c="8/30/2009" cp="2">
          <x/>
          <x v="5"/>
        </s>
        <s v="[Date].[Date].&amp;[2009-08-31T00:00:00]" c="8/31/2009" cp="2">
          <x/>
          <x v="5"/>
        </s>
        <s v="[Date].[Date].&amp;[2009-09-01T00:00:00]" c="9/1/2009" cp="2">
          <x v="1"/>
          <x v="5"/>
        </s>
      </sharedItems>
      <mpMap v="40"/>
      <mpMap v="41"/>
    </cacheField>
    <cacheField name="[Date].[Date].[Date].[Month]" caption="Month" propertyName="Month" numFmtId="0" hierarchy="13" level="1" memberPropertyField="1">
      <sharedItems count="2">
        <s v="August, 2009"/>
        <s v="September, 2009"/>
      </sharedItems>
    </cacheField>
    <cacheField name="[Date].[Date].[Date].[Week]" caption="Week" propertyName="Week" numFmtId="0" hierarchy="13" level="1" memberPropertyField="1">
      <sharedItems count="6">
        <s v="Week of July 26"/>
        <s v="Week of August 02"/>
        <s v="Week of August 09"/>
        <s v="Week of August 16"/>
        <s v="Week of August 23"/>
        <s v="Week of August 30"/>
      </sharedItems>
    </cacheField>
    <cacheField name="[Measures].[Microsoft_VSTS_Scheduling_CompletedWork]" caption="Completed Work" numFmtId="0" hierarchy="599" level="32767"/>
    <cacheField name="[Measures].[Microsoft_VSTS_Scheduling_RemainingWork]" caption="Remaining Work" numFmtId="0" hierarchy="597" level="32767"/>
    <cacheField name="[Work Item].[Iteration Hierarchy].[Team Project Collection]" caption="Team Project Collection" numFmtId="0" hierarchy="136" level="1">
      <sharedItems containsSemiMixedTypes="0" containsString="0"/>
    </cacheField>
    <cacheField name="[Work Item].[Iteration Hierarchy].[Iteration0]" caption="Iteration0" numFmtId="0" hierarchy="136" level="2">
      <sharedItems containsSemiMixedTypes="0" containsString="0"/>
    </cacheField>
    <cacheField name="[Work Item].[Iteration Hierarchy].[Iteration1]" caption="Iteration1" numFmtId="0" hierarchy="136" level="3">
      <sharedItems containsSemiMixedTypes="0" containsString="0"/>
    </cacheField>
    <cacheField name="[Work Item].[Iteration Hierarchy].[Iteration2]" caption="Iteration2" numFmtId="0" hierarchy="136" level="4">
      <sharedItems containsSemiMixedTypes="0" containsString="0"/>
    </cacheField>
    <cacheField name="[Work Item].[Iteration Hierarchy].[Iteration3]" caption="Iteration3" numFmtId="0" hierarchy="136" level="5">
      <sharedItems containsSemiMixedTypes="0" containsString="0"/>
    </cacheField>
    <cacheField name="[Work Item].[Iteration Hierarchy].[Iteration4]" caption="Iteration4" numFmtId="0" hierarchy="136" level="6">
      <sharedItems containsSemiMixedTypes="0" containsString="0"/>
    </cacheField>
    <cacheField name="[Work Item].[Iteration Hierarchy].[Iteration5]" caption="Iteration5" numFmtId="0" hierarchy="136" level="7">
      <sharedItems containsSemiMixedTypes="0" containsString="0"/>
    </cacheField>
    <cacheField name="[Work Item].[Iteration Hierarchy].[Iteration6]" caption="Iteration6" numFmtId="0" hierarchy="136" level="8">
      <sharedItems containsSemiMixedTypes="0" containsString="0"/>
    </cacheField>
    <cacheField name="[Work Item].[Iteration Hierarchy].[Iteration7]" caption="Iteration7" numFmtId="0" hierarchy="136" level="9">
      <sharedItems containsSemiMixedTypes="0" containsString="0"/>
    </cacheField>
    <cacheField name="[Work Item].[Iteration Hierarchy].[Iteration8]" caption="Iteration8" numFmtId="0" hierarchy="136" level="10">
      <sharedItems containsSemiMixedTypes="0" containsString="0"/>
    </cacheField>
    <cacheField name="[Work Item].[Iteration Hierarchy].[Iteration9]" caption="Iteration9" numFmtId="0" hierarchy="136" level="11">
      <sharedItems containsSemiMixedTypes="0" containsString="0"/>
    </cacheField>
    <cacheField name="[Work Item].[Iteration Hierarchy].[Iteration10]" caption="Iteration10" numFmtId="0" hierarchy="136" level="12">
      <sharedItems containsSemiMixedTypes="0" containsString="0"/>
    </cacheField>
    <cacheField name="[Work Item].[Iteration Hierarchy].[Iteration11]" caption="Iteration11" numFmtId="0" hierarchy="136" level="13">
      <sharedItems containsSemiMixedTypes="0" containsString="0"/>
    </cacheField>
    <cacheField name="[Work Item].[Iteration Hierarchy].[Iteration12]" caption="Iteration12" numFmtId="0" hierarchy="136" level="14">
      <sharedItems containsSemiMixedTypes="0" containsString="0"/>
    </cacheField>
    <cacheField name="[Work Item].[Iteration Hierarchy].[Iteration13]" caption="Iteration13" numFmtId="0" hierarchy="136" level="15">
      <sharedItems containsSemiMixedTypes="0" containsString="0"/>
    </cacheField>
    <cacheField name="[Work Item].[Iteration Hierarchy].[Iteration0].[Iteration Team Project Collection]" caption="Team Project Collection" propertyName="Iteration Team Project Collection" numFmtId="0" hierarchy="136" level="2" memberPropertyField="1">
      <sharedItems containsSemiMixedTypes="0" containsString="0"/>
    </cacheField>
    <cacheField name="[Work Item].[Iteration Hierarchy].[Iteration1].[Iteration0]" caption="Iteration0" propertyName="Iteration0" numFmtId="0" hierarchy="136" level="3" memberPropertyField="1">
      <sharedItems containsSemiMixedTypes="0" containsString="0"/>
    </cacheField>
    <cacheField name="[Work Item].[Iteration Hierarchy].[Iteration2].[Iteration1]" caption="Iteration1" propertyName="Iteration1" numFmtId="0" hierarchy="136" level="4" memberPropertyField="1">
      <sharedItems containsSemiMixedTypes="0" containsString="0"/>
    </cacheField>
    <cacheField name="[Work Item].[Iteration Hierarchy].[Iteration3].[Iteration2]" caption="Iteration2" propertyName="Iteration2" numFmtId="0" hierarchy="136" level="5" memberPropertyField="1">
      <sharedItems containsSemiMixedTypes="0" containsString="0"/>
    </cacheField>
    <cacheField name="[Work Item].[Iteration Hierarchy].[Iteration4].[Iteration3]" caption="Iteration3" propertyName="Iteration3" numFmtId="0" hierarchy="136" level="6" memberPropertyField="1">
      <sharedItems containsSemiMixedTypes="0" containsString="0"/>
    </cacheField>
    <cacheField name="[Work Item].[Iteration Hierarchy].[Iteration5].[Iteration4]" caption="Iteration4" propertyName="Iteration4" numFmtId="0" hierarchy="136" level="7" memberPropertyField="1">
      <sharedItems containsSemiMixedTypes="0" containsString="0"/>
    </cacheField>
    <cacheField name="[Work Item].[Iteration Hierarchy].[Iteration6].[Iteration5]" caption="Iteration5" propertyName="Iteration5" numFmtId="0" hierarchy="136" level="8" memberPropertyField="1">
      <sharedItems containsSemiMixedTypes="0" containsString="0"/>
    </cacheField>
    <cacheField name="[Work Item].[Iteration Hierarchy].[Iteration7].[Iteration6]" caption="Iteration6" propertyName="Iteration6" numFmtId="0" hierarchy="136" level="9" memberPropertyField="1">
      <sharedItems containsSemiMixedTypes="0" containsString="0"/>
    </cacheField>
    <cacheField name="[Work Item].[Iteration Hierarchy].[Iteration8].[Iteration7]" caption="Iteration7" propertyName="Iteration7" numFmtId="0" hierarchy="136" level="10" memberPropertyField="1">
      <sharedItems containsSemiMixedTypes="0" containsString="0"/>
    </cacheField>
    <cacheField name="[Work Item].[Iteration Hierarchy].[Iteration9].[Iteration8]" caption="Iteration8" propertyName="Iteration8" numFmtId="0" hierarchy="136" level="11" memberPropertyField="1">
      <sharedItems containsSemiMixedTypes="0" containsString="0"/>
    </cacheField>
    <cacheField name="[Work Item].[Iteration Hierarchy].[Iteration10].[Iteration9]" caption="Iteration9" propertyName="Iteration9" numFmtId="0" hierarchy="136" level="12" memberPropertyField="1">
      <sharedItems containsSemiMixedTypes="0" containsString="0"/>
    </cacheField>
    <cacheField name="[Work Item].[Iteration Hierarchy].[Iteration11].[Iteration10]" caption="Iteration10" propertyName="Iteration10" numFmtId="0" hierarchy="136" level="13" memberPropertyField="1">
      <sharedItems containsSemiMixedTypes="0" containsString="0"/>
    </cacheField>
    <cacheField name="[Work Item].[Iteration Hierarchy].[Iteration12].[Iteration11]" caption="Iteration11" propertyName="Iteration11" numFmtId="0" hierarchy="136" level="14" memberPropertyField="1">
      <sharedItems containsSemiMixedTypes="0" containsString="0"/>
    </cacheField>
    <cacheField name="[Work Item].[Iteration Hierarchy].[Iteration13].[Iteration12]" caption="Iteration12" propertyName="Iteration12" numFmtId="0" hierarchy="136" level="15" memberPropertyField="1">
      <sharedItems containsSemiMixedTypes="0" containsString="0"/>
    </cacheField>
    <cacheField name="[Measures].[Date Value]" caption="Date Value" numFmtId="0" hierarchy="624" level="32767"/>
  </cacheFields>
  <cacheHierarchies count="654">
    <cacheHierarchy uniqueName="[Assembly].[Assembly]" caption="Assembly" attribute="1" defaultMemberUniqueName="[Assembly].[Assembly].[All]" allUniqueName="[Assembly].[Assembly].[All]" dimensionUniqueName="[Assembly]" displayFolder="" count="0" unbalanced="0"/>
    <cacheHierarchy uniqueName="[Build].[Build]" caption="Build Name" attribute="1" keyAttribute="1" defaultMemberUniqueName="[Build].[Build].[All]" allUniqueName="[Build].[Build].[All]" dimensionUniqueName="[Build]" displayFolder="" count="0" unbalanced="0"/>
    <cacheHierarchy uniqueName="[Build].[Build Definition Name]" caption="Build Definition Name" attribute="1" defaultMemberUniqueName="[Build].[Build Definition Name].[All]" allUniqueName="[Build].[Build Definition Name].[All]" dimensionUniqueName="[Build]" displayFolder="" count="0" unbalanced="0"/>
    <cacheHierarchy uniqueName="[Build].[Build ID]" caption="Build ID" attribute="1" defaultMemberUniqueName="[Build].[Build ID].[All]" allUniqueName="[Build].[Build ID].[All]" dimensionUniqueName="[Build]" displayFolder="" count="0" unbalanced="0"/>
    <cacheHierarchy uniqueName="[Build].[Build Start Time]" caption="Build Start Time" attribute="1" defaultMemberUniqueName="[Build].[Build Start Time].[All]" allUniqueName="[Build].[Build Start Time].[All]" dimensionUniqueName="[Build]" displayFolder="" count="0" unbalanced="0"/>
    <cacheHierarchy uniqueName="[Build].[Build Type]" caption="Build Type" attribute="1" defaultMemberUniqueName="[Build].[Build Type].[All]" allUniqueName="[Build].[Build Type].[All]" dimensionUniqueName="[Build]" displayFolder="" count="0" unbalanced="0"/>
    <cacheHierarchy uniqueName="[Build].[Drop Location]" caption="Drop Location" attribute="1" defaultMemberUniqueName="[Build].[Drop Location].[All]" allUniqueName="[Build].[Drop Location].[All]" dimensionUniqueName="[Build]" displayFolder="" count="0" unbalanced="0"/>
    <cacheHierarchy uniqueName="[Build Flavor].[Build Flavor]" caption="Build Flavor" attribute="1" defaultMemberUniqueName="[Build Flavor].[Build Flavor].[All]" allUniqueName="[Build Flavor].[Build Flavor].[All]" dimensionUniqueName="[Build Flavor]" displayFolder="" count="0" unbalanced="0"/>
    <cacheHierarchy uniqueName="[Build Platform].[Build Platform]" caption="Build Platform" attribute="1" defaultMemberUniqueName="[Build Platform].[Build Platform].[All]" allUniqueName="[Build Platform].[Build Platform].[All]" dimensionUniqueName="[Build Platform]" displayFolder="" count="0" unbalanced="0"/>
    <cacheHierarchy uniqueName="[Build Quality].[Build Quality]" caption="Build Quality" attribute="1" defaultMemberUniqueName="[Build Quality].[Build Quality].[All]" allUniqueName="[Build Quality].[Build Quality].[All]" dimensionUniqueName="[Build Quality]" displayFolder="" count="0" unbalanced="0"/>
    <cacheHierarchy uniqueName="[Build Source Project File].[File Extension]" caption="Source Project File.File Extension" attribute="1" defaultMemberUniqueName="[Build Source Project File].[File Extension].[All]" allUniqueName="[Build Source Project File].[File Extension].[All]" dimensionUniqueName="[Build Source Project File]" displayFolder="" count="0" unbalanced="0"/>
    <cacheHierarchy uniqueName="[Build Source Project File].[File Hierarchy]" caption="Source Project File.File Hierarchy" defaultMemberUniqueName="[Build Source Project File].[File Hierarchy].[All]" allUniqueName="[Build Source Project File].[File Hierarchy].[All]" dimensionUniqueName="[Build Source Project File]" displayFolder="" count="0" unbalanced="1"/>
    <cacheHierarchy uniqueName="[Build Status].[Build Status]" caption="Build Status Name" attribute="1" defaultMemberUniqueName="[Build Status].[Build Status].[All]" allUniqueName="[Build Status].[Build Status].[All]" dimensionUniqueName="[Build Status]" displayFolder="" count="0" unbalanced="0"/>
    <cacheHierarchy uniqueName="[Date].[Date]" caption="Date" attribute="1" time="1" defaultMemberUniqueName="[Date].[Date].[All]" allUniqueName="[Date].[Date].[All]" dimensionUniqueName="[Date]" displayFolder="" count="2" unbalanced="0">
      <fieldsUsage count="2">
        <fieldUsage x="-1"/>
        <fieldUsage x="39"/>
      </fieldsUsage>
    </cacheHierarchy>
    <cacheHierarchy uniqueName="[Date].[Month]" caption="Month" attribute="1" time="1" defaultMemberUniqueName="[Date].[Month].[All]" allUniqueName="[Date].[Month].[All]" dimensionUniqueName="[Date]" displayFolder="" count="0" unbalanced="0"/>
    <cacheHierarchy uniqueName="[Date].[Week]" caption="Week" attribute="1" time="1" defaultMemberUniqueName="[Date].[Week].[All]" allUniqueName="[Date].[Week].[All]" dimensionUniqueName="[Date]" displayFolder="" count="0" unbalanced="0"/>
    <cacheHierarchy uniqueName="[Date].[Year]" caption="Year" attribute="1" time="1" defaultMemberUniqueName="[Date].[Year].[All]" allUniqueName="[Date].[Year].[All]" dimensionUniqueName="[Date]" displayFolder="" count="0" unbalanced="0"/>
    <cacheHierarchy uniqueName="[Date].[Year - Month - Date Hierarchy]" caption="Year Month Date" time="1" defaultMemberUniqueName="[Date].[Year - Month - Date Hierarchy].[All]" allUniqueName="[Date].[Year - Month - Date Hierarchy].[All]" dimensionUniqueName="[Date]" displayFolder="" count="0" unbalanced="0"/>
    <cacheHierarchy uniqueName="[Date].[Year - Week - Date Hierarchy]" caption="Year Week Date" time="1" defaultMemberUniqueName="[Date].[Year - Week - Date Hierarchy].[All]" allUniqueName="[Date].[Year - Week - Date Hierarchy].[All]" dimensionUniqueName="[Date]" displayFolder="" count="0" unbalanced="0"/>
    <cacheHierarchy uniqueName="[Team Project].[Is Deleted]" caption="Is Deleted" attribute="1" defaultMemberUniqueName="[Team Project].[Is Deleted].[All]" allUniqueName="[Team Project].[Is Deleted].[All]" dimensionUniqueName="[Team Project]" displayFolder="" count="0" unbalanced="0"/>
    <cacheHierarchy uniqueName="[Team Project].[Project Node Name]" caption="Name" attribute="1" defaultMemberUniqueName="[Team Project].[Project Node Name].[All]" allUniqueName="[Team Project].[Project Node Name].[All]" dimensionUniqueName="[Team Project]" displayFolder="" count="0" unbalanced="0"/>
    <cacheHierarchy uniqueName="[Team Project].[Project Node Type]" caption="Project Node Type Name" attribute="1" defaultMemberUniqueName="[Team Project].[Project Node Type].[All]" allUniqueName="[Team Project].[Project Node Type].[All]" dimensionUniqueName="[Team Project]" displayFolder="" count="0" unbalanced="0"/>
    <cacheHierarchy uniqueName="[Team Project].[Project Path]" caption="Project Path" attribute="1" defaultMemberUniqueName="[Team Project].[Project Path].[All]" allUniqueName="[Team Project].[Project Path].[All]" dimensionUniqueName="[Team Project]" displayFolder="" count="0" unbalanced="0"/>
    <cacheHierarchy uniqueName="[Team Project].[Team Project Hierarchy]" caption="Team Project Hierarchy" defaultMemberUniqueName="[Team Project].[Team Project Hierarchy].[All]" allUniqueName="[Team Project].[Team Project Hierarchy].[All]" dimensionUniqueName="[Team Project]" displayFolder="" count="3" unbalanced="1">
      <fieldsUsage count="3">
        <fieldUsage x="-1"/>
        <fieldUsage x="0"/>
        <fieldUsage x="1"/>
      </fieldsUsage>
    </cacheHierarchy>
    <cacheHierarchy uniqueName="[Test Case].[Area Hierarchy]" caption="Area Hierarchy" defaultMemberUniqueName="[Test Case].[Area Hierarchy].[All]" allUniqueName="[Test Case].[Area Hierarchy].[All]" dimensionUniqueName="[Test Case]" displayFolder="" count="0" unbalanced="0"/>
    <cacheHierarchy uniqueName="[Test Case].[Area Path]" caption="Area Path" attribute="1" defaultMemberUniqueName="[Test Case].[Area Path].[All]" allUniqueName="[Test Case].[Area Path].[All]" dimensionUniqueName="[Test Case]" displayFolder="\" count="0" unbalanced="0"/>
    <cacheHierarchy uniqueName="[Test Case].[Iteration Hierarchy]" caption="Iteration Hierarchy" defaultMemberUniqueName="[Test Case].[Iteration Hierarchy].[All]" allUniqueName="[Test Case].[Iteration Hierarchy].[All]" dimensionUniqueName="[Test Case]" displayFolder="" count="0" unbalanced="0"/>
    <cacheHierarchy uniqueName="[Test Case].[Iteration Path]" caption="Iteration Path" attribute="1" defaultMemberUniqueName="[Test Case].[Iteration Path].[All]" allUniqueName="[Test Case].[Iteration Path].[All]" dimensionUniqueName="[Test Case]" displayFolder="\" count="0" unbalanced="0"/>
    <cacheHierarchy uniqueName="[Test Case].[Microsoft_VSTS_Build_FoundIn]" caption="Found In" attribute="1" defaultMemberUniqueName="[Test Case].[Microsoft_VSTS_Build_FoundIn].[All]" allUniqueName="[Test Case].[Microsoft_VSTS_Build_FoundIn].[All]" dimensionUniqueName="[Test Case]" displayFolder="Microsoft.VSTS.Build" count="0" unbalanced="0"/>
    <cacheHierarchy uniqueName="[Test Case].[Microsoft_VSTS_Build_IntegrationBuild]" caption="Integration Build" attribute="1" defaultMemberUniqueName="[Test Case].[Microsoft_VSTS_Build_IntegrationBuild].[All]" allUniqueName="[Test Case].[Microsoft_VSTS_Build_IntegrationBuild].[All]" dimensionUniqueName="[Test Case]" displayFolder="Microsoft.VSTS.Build" count="0" unbalanced="0"/>
    <cacheHierarchy uniqueName="[Test Case].[Microsoft_VSTS_CMMI_Blocked]" caption="Blocked" attribute="1" defaultMemberUniqueName="[Test Case].[Microsoft_VSTS_CMMI_Blocked].[All]" allUniqueName="[Test Case].[Microsoft_VSTS_CMMI_Blocked].[All]" dimensionUniqueName="[Test Case]" displayFolder="Microsoft.VSTS.CMMI" count="0" unbalanced="0"/>
    <cacheHierarchy uniqueName="[Test Case].[Microsoft_VSTS_CMMI_RequirementType]" caption="Requirement Type" attribute="1" defaultMemberUniqueName="[Test Case].[Microsoft_VSTS_CMMI_RequirementType].[All]" allUniqueName="[Test Case].[Microsoft_VSTS_CMMI_RequirementType].[All]" dimensionUniqueName="[Test Case]" displayFolder="Microsoft.VSTS.CMMI" count="0" unbalanced="0"/>
    <cacheHierarchy uniqueName="[Test Case].[Microsoft_VSTS_CMMI_TaskType]" caption="Task Type" attribute="1" defaultMemberUniqueName="[Test Case].[Microsoft_VSTS_CMMI_TaskType].[All]" allUniqueName="[Test Case].[Microsoft_VSTS_CMMI_TaskType].[All]" dimensionUniqueName="[Test Case]" displayFolder="Microsoft.VSTS.CMMI" count="0" unbalanced="0"/>
    <cacheHierarchy uniqueName="[Test Case].[Microsoft_VSTS_Common_ActivatedBy]" caption="Activated By" attribute="1" defaultMemberUniqueName="[Test Case].[Microsoft_VSTS_Common_ActivatedBy].[All]" allUniqueName="[Test Case].[Microsoft_VSTS_Common_ActivatedBy].[All]" dimensionUniqueName="[Test Case]" displayFolder="Microsoft.VSTS.Common" count="0" unbalanced="0"/>
    <cacheHierarchy uniqueName="[Test Case].[Microsoft_VSTS_Common_ActivatedDate]" caption="Activated Date" attribute="1" defaultMemberUniqueName="[Test Case].[Microsoft_VSTS_Common_ActivatedDate].[All]" allUniqueName="[Test Case].[Microsoft_VSTS_Common_ActivatedDate].[All]" dimensionUniqueName="[Test Case]" displayFolder="Microsoft.VSTS.Common" count="0" unbalanced="0"/>
    <cacheHierarchy uniqueName="[Test Case].[Microsoft_VSTS_Common_ActivatedDate__HierarchyByMonth]" caption="Activated Date Hierarchy By Month" defaultMemberUniqueName="[Test Case].[Microsoft_VSTS_Common_ActivatedDate__HierarchyByMonth].[All]" allUniqueName="[Test Case].[Microsoft_VSTS_Common_ActivatedDate__HierarchyByMonth].[All]" dimensionUniqueName="[Test Case]" displayFolder="Microsoft.VSTS.Common" count="0" unbalanced="0"/>
    <cacheHierarchy uniqueName="[Test Case].[Microsoft_VSTS_Common_ActivatedDate__HierarchyByWeek]" caption="Activated Date Hierarchy By Week" defaultMemberUniqueName="[Test Case].[Microsoft_VSTS_Common_ActivatedDate__HierarchyByWeek].[All]" allUniqueName="[Test Case].[Microsoft_VSTS_Common_ActivatedDate__HierarchyByWeek].[All]" dimensionUniqueName="[Test Case]" displayFolder="Microsoft.VSTS.Common" count="0" unbalanced="0"/>
    <cacheHierarchy uniqueName="[Test Case].[Microsoft_VSTS_Common_Activity]" caption="Activity" attribute="1" defaultMemberUniqueName="[Test Case].[Microsoft_VSTS_Common_Activity].[All]" allUniqueName="[Test Case].[Microsoft_VSTS_Common_Activity].[All]" dimensionUniqueName="[Test Case]" displayFolder="Microsoft.VSTS.Common" count="0" unbalanced="0"/>
    <cacheHierarchy uniqueName="[Test Case].[Microsoft_VSTS_Common_ClosedBy]" caption="Closed By" attribute="1" defaultMemberUniqueName="[Test Case].[Microsoft_VSTS_Common_ClosedBy].[All]" allUniqueName="[Test Case].[Microsoft_VSTS_Common_ClosedBy].[All]" dimensionUniqueName="[Test Case]" displayFolder="Microsoft.VSTS.Common" count="0" unbalanced="0"/>
    <cacheHierarchy uniqueName="[Test Case].[Microsoft_VSTS_Common_ClosedDate]" caption="Closed Date" attribute="1" defaultMemberUniqueName="[Test Case].[Microsoft_VSTS_Common_ClosedDate].[All]" allUniqueName="[Test Case].[Microsoft_VSTS_Common_ClosedDate].[All]" dimensionUniqueName="[Test Case]" displayFolder="Microsoft.VSTS.Common" count="0" unbalanced="0"/>
    <cacheHierarchy uniqueName="[Test Case].[Microsoft_VSTS_Common_ClosedDate__HierarchyByMonth]" caption="Closed Date Hierarchy By Month" defaultMemberUniqueName="[Test Case].[Microsoft_VSTS_Common_ClosedDate__HierarchyByMonth].[All]" allUniqueName="[Test Case].[Microsoft_VSTS_Common_ClosedDate__HierarchyByMonth].[All]" dimensionUniqueName="[Test Case]" displayFolder="Microsoft.VSTS.Common" count="0" unbalanced="0"/>
    <cacheHierarchy uniqueName="[Test Case].[Microsoft_VSTS_Common_ClosedDate__HierarchyByWeek]" caption="Closed Date Hierarchy By Week" defaultMemberUniqueName="[Test Case].[Microsoft_VSTS_Common_ClosedDate__HierarchyByWeek].[All]" allUniqueName="[Test Case].[Microsoft_VSTS_Common_ClosedDate__HierarchyByWeek].[All]" dimensionUniqueName="[Test Case]" displayFolder="Microsoft.VSTS.Common" count="0" unbalanced="0"/>
    <cacheHierarchy uniqueName="[Test Case].[Microsoft_VSTS_Common_Discipline]" caption="Discipline" attribute="1" defaultMemberUniqueName="[Test Case].[Microsoft_VSTS_Common_Discipline].[All]" allUniqueName="[Test Case].[Microsoft_VSTS_Common_Discipline].[All]" dimensionUniqueName="[Test Case]" displayFolder="Microsoft.VSTS.Common" count="0" unbalanced="0"/>
    <cacheHierarchy uniqueName="[Test Case].[Microsoft_VSTS_Common_Issue]" caption="Issue" attribute="1" defaultMemberUniqueName="[Test Case].[Microsoft_VSTS_Common_Issue].[All]" allUniqueName="[Test Case].[Microsoft_VSTS_Common_Issue].[All]" dimensionUniqueName="[Test Case]" displayFolder="Microsoft.VSTS.Common" count="0" unbalanced="0"/>
    <cacheHierarchy uniqueName="[Test Case].[Microsoft_VSTS_Common_Priority]" caption="Priority" attribute="1" defaultMemberUniqueName="[Test Case].[Microsoft_VSTS_Common_Priority].[All]" allUniqueName="[Test Case].[Microsoft_VSTS_Common_Priority].[All]" dimensionUniqueName="[Test Case]" displayFolder="Microsoft.VSTS.Common" count="0" unbalanced="0"/>
    <cacheHierarchy uniqueName="[Test Case].[Microsoft_VSTS_Common_Rank]" caption="Rank" attribute="1" defaultMemberUniqueName="[Test Case].[Microsoft_VSTS_Common_Rank].[All]" allUniqueName="[Test Case].[Microsoft_VSTS_Common_Rank].[All]" dimensionUniqueName="[Test Case]" displayFolder="Microsoft.VSTS.Common" count="0" unbalanced="0"/>
    <cacheHierarchy uniqueName="[Test Case].[Microsoft_VSTS_Common_ResolvedBy]" caption="Resolved By" attribute="1" defaultMemberUniqueName="[Test Case].[Microsoft_VSTS_Common_ResolvedBy].[All]" allUniqueName="[Test Case].[Microsoft_VSTS_Common_ResolvedBy].[All]" dimensionUniqueName="[Test Case]" displayFolder="Microsoft.VSTS.Common" count="0" unbalanced="0"/>
    <cacheHierarchy uniqueName="[Test Case].[Microsoft_VSTS_Common_ResolvedDate]" caption="Resolved Date" attribute="1" defaultMemberUniqueName="[Test Case].[Microsoft_VSTS_Common_ResolvedDate].[All]" allUniqueName="[Test Case].[Microsoft_VSTS_Common_ResolvedDate].[All]" dimensionUniqueName="[Test Case]" displayFolder="Microsoft.VSTS.Common" count="0" unbalanced="0"/>
    <cacheHierarchy uniqueName="[Test Case].[Microsoft_VSTS_Common_ResolvedDate__HierarchyByMonth]" caption="Resolved Date Hierarchy By Month" defaultMemberUniqueName="[Test Case].[Microsoft_VSTS_Common_ResolvedDate__HierarchyByMonth].[All]" allUniqueName="[Test Case].[Microsoft_VSTS_Common_ResolvedDate__HierarchyByMonth].[All]" dimensionUniqueName="[Test Case]" displayFolder="Microsoft.VSTS.Common" count="0" unbalanced="0"/>
    <cacheHierarchy uniqueName="[Test Case].[Microsoft_VSTS_Common_ResolvedDate__HierarchyByWeek]" caption="Resolved Date Hierarchy By Week" defaultMemberUniqueName="[Test Case].[Microsoft_VSTS_Common_ResolvedDate__HierarchyByWeek].[All]" allUniqueName="[Test Case].[Microsoft_VSTS_Common_ResolvedDate__HierarchyByWeek].[All]" dimensionUniqueName="[Test Case]" displayFolder="Microsoft.VSTS.Common" count="0" unbalanced="0"/>
    <cacheHierarchy uniqueName="[Test Case].[Microsoft_VSTS_Common_ResolvedReason]" caption="Resolved Reason" attribute="1" defaultMemberUniqueName="[Test Case].[Microsoft_VSTS_Common_ResolvedReason].[All]" allUniqueName="[Test Case].[Microsoft_VSTS_Common_ResolvedReason].[All]" dimensionUniqueName="[Test Case]" displayFolder="Microsoft.VSTS.Common" count="0" unbalanced="0"/>
    <cacheHierarchy uniqueName="[Test Case].[Microsoft_VSTS_Common_Risk]" caption="Risk" attribute="1" defaultMemberUniqueName="[Test Case].[Microsoft_VSTS_Common_Risk].[All]" allUniqueName="[Test Case].[Microsoft_VSTS_Common_Risk].[All]" dimensionUniqueName="[Test Case]" displayFolder="Microsoft.VSTS.Common" count="0" unbalanced="0"/>
    <cacheHierarchy uniqueName="[Test Case].[Microsoft_VSTS_Common_Severity]" caption="Severity" attribute="1" defaultMemberUniqueName="[Test Case].[Microsoft_VSTS_Common_Severity].[All]" allUniqueName="[Test Case].[Microsoft_VSTS_Common_Severity].[All]" dimensionUniqueName="[Test Case]" displayFolder="Microsoft.VSTS.Common" count="0" unbalanced="0"/>
    <cacheHierarchy uniqueName="[Test Case].[Microsoft_VSTS_Common_StackRank]" caption="Stack Rank" attribute="1" defaultMemberUniqueName="[Test Case].[Microsoft_VSTS_Common_StackRank].[All]" allUniqueName="[Test Case].[Microsoft_VSTS_Common_StackRank].[All]" dimensionUniqueName="[Test Case]" displayFolder="Microsoft.VSTS.Common" count="0" unbalanced="0"/>
    <cacheHierarchy uniqueName="[Test Case].[Microsoft_VSTS_Common_Triage]" caption="Triage" attribute="1" defaultMemberUniqueName="[Test Case].[Microsoft_VSTS_Common_Triage].[All]" allUniqueName="[Test Case].[Microsoft_VSTS_Common_Triage].[All]" dimensionUniqueName="[Test Case]" displayFolder="Microsoft.VSTS.Common" count="0" unbalanced="0"/>
    <cacheHierarchy uniqueName="[Test Case].[Microsoft_VSTS_Scheduling_DueDate]" caption="Due Date" attribute="1" defaultMemberUniqueName="[Test Case].[Microsoft_VSTS_Scheduling_DueDate].[All]" allUniqueName="[Test Case].[Microsoft_VSTS_Scheduling_DueDate].[All]" dimensionUniqueName="[Test Case]" displayFolder="Microsoft.VSTS.Scheduling" count="0" unbalanced="0"/>
    <cacheHierarchy uniqueName="[Test Case].[Microsoft_VSTS_Scheduling_DueDate__HierarchyByMonth]" caption="Due Date Hierarchy By Month" defaultMemberUniqueName="[Test Case].[Microsoft_VSTS_Scheduling_DueDate__HierarchyByMonth].[All]" allUniqueName="[Test Case].[Microsoft_VSTS_Scheduling_DueDate__HierarchyByMonth].[All]" dimensionUniqueName="[Test Case]" displayFolder="Microsoft.VSTS.Scheduling" count="0" unbalanced="0"/>
    <cacheHierarchy uniqueName="[Test Case].[Microsoft_VSTS_Scheduling_DueDate__HierarchyByWeek]" caption="Due Date Hierarchy By Week" defaultMemberUniqueName="[Test Case].[Microsoft_VSTS_Scheduling_DueDate__HierarchyByWeek].[All]" allUniqueName="[Test Case].[Microsoft_VSTS_Scheduling_DueDate__HierarchyByWeek].[All]" dimensionUniqueName="[Test Case]" displayFolder="Microsoft.VSTS.Scheduling" count="0" unbalanced="0"/>
    <cacheHierarchy uniqueName="[Test Case].[Microsoft_VSTS_Scheduling_FinishDate]" caption="Finish Date" attribute="1" defaultMemberUniqueName="[Test Case].[Microsoft_VSTS_Scheduling_FinishDate].[All]" allUniqueName="[Test Case].[Microsoft_VSTS_Scheduling_FinishDate].[All]" dimensionUniqueName="[Test Case]" displayFolder="Microsoft.VSTS.Scheduling" count="0" unbalanced="0"/>
    <cacheHierarchy uniqueName="[Test Case].[Microsoft_VSTS_Scheduling_FinishDate__HierarchyByMonth]" caption="Finish Date Hierarchy By Month" defaultMemberUniqueName="[Test Case].[Microsoft_VSTS_Scheduling_FinishDate__HierarchyByMonth].[All]" allUniqueName="[Test Case].[Microsoft_VSTS_Scheduling_FinishDate__HierarchyByMonth].[All]" dimensionUniqueName="[Test Case]" displayFolder="Microsoft.VSTS.Scheduling" count="0" unbalanced="0"/>
    <cacheHierarchy uniqueName="[Test Case].[Microsoft_VSTS_Scheduling_FinishDate__HierarchyByWeek]" caption="Finish Date Hierarchy By Week" defaultMemberUniqueName="[Test Case].[Microsoft_VSTS_Scheduling_FinishDate__HierarchyByWeek].[All]" allUniqueName="[Test Case].[Microsoft_VSTS_Scheduling_FinishDate__HierarchyByWeek].[All]" dimensionUniqueName="[Test Case]" displayFolder="Microsoft.VSTS.Scheduling" count="0" unbalanced="0"/>
    <cacheHierarchy uniqueName="[Test Case].[Microsoft_VSTS_Scheduling_StartDate]" caption="Start Date" attribute="1" defaultMemberUniqueName="[Test Case].[Microsoft_VSTS_Scheduling_StartDate].[All]" allUniqueName="[Test Case].[Microsoft_VSTS_Scheduling_StartDate].[All]" dimensionUniqueName="[Test Case]" displayFolder="Microsoft.VSTS.Scheduling" count="0" unbalanced="0"/>
    <cacheHierarchy uniqueName="[Test Case].[Microsoft_VSTS_Scheduling_StartDate__HierarchyByMonth]" caption="Start Date Hierarchy By Month" defaultMemberUniqueName="[Test Case].[Microsoft_VSTS_Scheduling_StartDate__HierarchyByMonth].[All]" allUniqueName="[Test Case].[Microsoft_VSTS_Scheduling_StartDate__HierarchyByMonth].[All]" dimensionUniqueName="[Test Case]" displayFolder="Microsoft.VSTS.Scheduling" count="0" unbalanced="0"/>
    <cacheHierarchy uniqueName="[Test Case].[Microsoft_VSTS_Scheduling_StartDate__HierarchyByWeek]" caption="Start Date Hierarchy By Week" defaultMemberUniqueName="[Test Case].[Microsoft_VSTS_Scheduling_StartDate__HierarchyByWeek].[All]" allUniqueName="[Test Case].[Microsoft_VSTS_Scheduling_StartDate__HierarchyByWeek].[All]" dimensionUniqueName="[Test Case]" displayFolder="Microsoft.VSTS.Scheduling" count="0" unbalanced="0"/>
    <cacheHierarchy uniqueName="[Test Case].[Microsoft_VSTS_Scheduling_TaskHierarchy]" caption="Task Hierarchy" attribute="1" defaultMemberUniqueName="[Test Case].[Microsoft_VSTS_Scheduling_TaskHierarchy].[All]" allUniqueName="[Test Case].[Microsoft_VSTS_Scheduling_TaskHierarchy].[All]" dimensionUniqueName="[Test Case]" displayFolder="Microsoft.VSTS.Scheduling" count="0" unbalanced="0"/>
    <cacheHierarchy uniqueName="[Test Case].[Microsoft_VSTS_TCM_AutomationStatus]" caption="Automation status" attribute="1" defaultMemberUniqueName="[Test Case].[Microsoft_VSTS_TCM_AutomationStatus].[All]" allUniqueName="[Test Case].[Microsoft_VSTS_TCM_AutomationStatus].[All]" dimensionUniqueName="[Test Case]" displayFolder="Microsoft.VSTS.TCM" count="0" unbalanced="0"/>
    <cacheHierarchy uniqueName="[Test Case].[Previous State]" caption="Previous State" attribute="1" defaultMemberUniqueName="[Test Case].[Previous State].[All]" allUniqueName="[Test Case].[Previous State].[All]" dimensionUniqueName="[Test Case]" displayFolder="" count="0" unbalanced="0"/>
    <cacheHierarchy uniqueName="[Test Case].[System_AssignedTo]" caption="Assigned To" attribute="1" defaultMemberUniqueName="[Test Case].[System_AssignedTo].[All]" allUniqueName="[Test Case].[System_AssignedTo].[All]" dimensionUniqueName="[Test Case]" displayFolder="\" count="0" unbalanced="0"/>
    <cacheHierarchy uniqueName="[Test Case].[System_ChangedBy]" caption="Changed By" attribute="1" defaultMemberUniqueName="[Test Case].[System_ChangedBy].[All]" allUniqueName="[Test Case].[System_ChangedBy].[All]" dimensionUniqueName="[Test Case]" displayFolder="\" count="0" unbalanced="0"/>
    <cacheHierarchy uniqueName="[Test Case].[System_ChangedDate]" caption="Changed Date" attribute="1" defaultMemberUniqueName="[Test Case].[System_ChangedDate].[All]" allUniqueName="[Test Case].[System_ChangedDate].[All]" dimensionUniqueName="[Test Case]" displayFolder="\" count="0" unbalanced="0"/>
    <cacheHierarchy uniqueName="[Test Case].[System_ChangedDate__HierarchyByMonth]" caption="Changed Date Hierarchy By Month" defaultMemberUniqueName="[Test Case].[System_ChangedDate__HierarchyByMonth].[All]" allUniqueName="[Test Case].[System_ChangedDate__HierarchyByMonth].[All]" dimensionUniqueName="[Test Case]" displayFolder="\" count="0" unbalanced="0"/>
    <cacheHierarchy uniqueName="[Test Case].[System_ChangedDate__HierarchyByWeek]" caption="Changed Date Hierarchy By Week" defaultMemberUniqueName="[Test Case].[System_ChangedDate__HierarchyByWeek].[All]" allUniqueName="[Test Case].[System_ChangedDate__HierarchyByWeek].[All]" dimensionUniqueName="[Test Case]" displayFolder="\" count="0" unbalanced="0"/>
    <cacheHierarchy uniqueName="[Test Case].[System_CreatedBy]" caption="Created By" attribute="1" defaultMemberUniqueName="[Test Case].[System_CreatedBy].[All]" allUniqueName="[Test Case].[System_CreatedBy].[All]" dimensionUniqueName="[Test Case]" displayFolder="\" count="0" unbalanced="0"/>
    <cacheHierarchy uniqueName="[Test Case].[System_CreatedDate]" caption="Created Date" attribute="1" defaultMemberUniqueName="[Test Case].[System_CreatedDate].[All]" allUniqueName="[Test Case].[System_CreatedDate].[All]" dimensionUniqueName="[Test Case]" displayFolder="\" count="0" unbalanced="0"/>
    <cacheHierarchy uniqueName="[Test Case].[System_CreatedDate__HierarchyByMonth]" caption="Created Date Hierarchy By Month" defaultMemberUniqueName="[Test Case].[System_CreatedDate__HierarchyByMonth].[All]" allUniqueName="[Test Case].[System_CreatedDate__HierarchyByMonth].[All]" dimensionUniqueName="[Test Case]" displayFolder="\" count="0" unbalanced="0"/>
    <cacheHierarchy uniqueName="[Test Case].[System_CreatedDate__HierarchyByWeek]" caption="Created Date Hierarchy By Week" defaultMemberUniqueName="[Test Case].[System_CreatedDate__HierarchyByWeek].[All]" allUniqueName="[Test Case].[System_CreatedDate__HierarchyByWeek].[All]" dimensionUniqueName="[Test Case]" displayFolder="\" count="0" unbalanced="0"/>
    <cacheHierarchy uniqueName="[Test Case].[System_Id]" caption="ID" attribute="1" defaultMemberUniqueName="[Test Case].[System_Id].[All]" allUniqueName="[Test Case].[System_Id].[All]" dimensionUniqueName="[Test Case]" displayFolder="\" count="0" unbalanced="0"/>
    <cacheHierarchy uniqueName="[Test Case].[System_Reason]" caption="Reason" attribute="1" defaultMemberUniqueName="[Test Case].[System_Reason].[All]" allUniqueName="[Test Case].[System_Reason].[All]" dimensionUniqueName="[Test Case]" displayFolder="\" count="0" unbalanced="0"/>
    <cacheHierarchy uniqueName="[Test Case].[System_Revision]" caption="Rev" attribute="1" defaultMemberUniqueName="[Test Case].[System_Revision].[All]" allUniqueName="[Test Case].[System_Revision].[All]" dimensionUniqueName="[Test Case]" displayFolder="\" count="0" unbalanced="0"/>
    <cacheHierarchy uniqueName="[Test Case].[System_State]" caption="State" attribute="1" defaultMemberUniqueName="[Test Case].[System_State].[All]" allUniqueName="[Test Case].[System_State].[All]" dimensionUniqueName="[Test Case]" displayFolder="\" count="0" unbalanced="0"/>
    <cacheHierarchy uniqueName="[Test Case].[System_Title]" caption="Title" attribute="1" defaultMemberUniqueName="[Test Case].[System_Title].[All]" allUniqueName="[Test Case].[System_Title].[All]" dimensionUniqueName="[Test Case]" displayFolder="\" count="0" unbalanced="0"/>
    <cacheHierarchy uniqueName="[Test Case].[System_WorkItemType]" caption="Work Item Type" attribute="1" defaultMemberUniqueName="[Test Case].[System_WorkItemType].[All]" allUniqueName="[Test Case].[System_WorkItemType].[All]" dimensionUniqueName="[Test Case]" displayFolder="\" count="0" unbalanced="0"/>
    <cacheHierarchy uniqueName="[Test Configuration].[Configuration ID]" caption="Configuration Id" attribute="1" defaultMemberUniqueName="[Test Configuration].[Configuration ID].[All]" allUniqueName="[Test Configuration].[Configuration ID].[All]" dimensionUniqueName="[Test Configuration]" displayFolder="" count="0" unbalanced="0"/>
    <cacheHierarchy uniqueName="[Test Configuration].[Configuration Name]" caption="Configuration Name" attribute="1" defaultMemberUniqueName="[Test Configuration].[Configuration Name].[All]" allUniqueName="[Test Configuration].[Configuration Name].[All]" dimensionUniqueName="[Test Configuration]" displayFolder="" count="0" unbalanced="0"/>
    <cacheHierarchy uniqueName="[Test Plan].[Area Hierarchy]" caption="Area Hierarchy" defaultMemberUniqueName="[Test Plan].[Area Hierarchy].[All]" allUniqueName="[Test Plan].[Area Hierarchy].[All]" dimensionUniqueName="[Test Plan]" displayFolder="" count="0" unbalanced="0"/>
    <cacheHierarchy uniqueName="[Test Plan].[Area Path]" caption="Area Path" attribute="1" defaultMemberUniqueName="[Test Plan].[Area Path].[All]" allUniqueName="[Test Plan].[Area Path].[All]" dimensionUniqueName="[Test Plan]" displayFolder="\" count="0" unbalanced="0"/>
    <cacheHierarchy uniqueName="[Test Plan].[End Date]" caption="End Date" attribute="1" defaultMemberUniqueName="[Test Plan].[End Date].[All]" allUniqueName="[Test Plan].[End Date].[All]" dimensionUniqueName="[Test Plan]" displayFolder="" count="0" unbalanced="0"/>
    <cacheHierarchy uniqueName="[Test Plan].[End Date Hierarchy By Month]" caption="End Date Hierarchy By Month" defaultMemberUniqueName="[Test Plan].[End Date Hierarchy By Month].[All]" allUniqueName="[Test Plan].[End Date Hierarchy By Month].[All]" dimensionUniqueName="[Test Plan]" displayFolder="" count="0" unbalanced="0"/>
    <cacheHierarchy uniqueName="[Test Plan].[End Date Hierarchy By Week]" caption="End Date Hierarchy By Week" defaultMemberUniqueName="[Test Plan].[End Date Hierarchy By Week].[All]" allUniqueName="[Test Plan].[End Date Hierarchy By Week].[All]" dimensionUniqueName="[Test Plan]" displayFolder="" count="0" unbalanced="0"/>
    <cacheHierarchy uniqueName="[Test Plan].[Iteration Hierarchy]" caption="Iteration Hierarchy" defaultMemberUniqueName="[Test Plan].[Iteration Hierarchy].[All]" allUniqueName="[Test Plan].[Iteration Hierarchy].[All]" dimensionUniqueName="[Test Plan]" displayFolder="" count="0" unbalanced="0"/>
    <cacheHierarchy uniqueName="[Test Plan].[Iteration Path]" caption="Iteration Path" attribute="1" defaultMemberUniqueName="[Test Plan].[Iteration Path].[All]" allUniqueName="[Test Plan].[Iteration Path].[All]" dimensionUniqueName="[Test Plan]" displayFolder="\" count="0" unbalanced="0"/>
    <cacheHierarchy uniqueName="[Test Plan].[Start Date]" caption="Start Date" attribute="1" defaultMemberUniqueName="[Test Plan].[Start Date].[All]" allUniqueName="[Test Plan].[Start Date].[All]" dimensionUniqueName="[Test Plan]" displayFolder="" count="0" unbalanced="0"/>
    <cacheHierarchy uniqueName="[Test Plan].[Start Date Hierarchy By Month]" caption="Start Date Hierarchy By Month" defaultMemberUniqueName="[Test Plan].[Start Date Hierarchy By Month].[All]" allUniqueName="[Test Plan].[Start Date Hierarchy By Month].[All]" dimensionUniqueName="[Test Plan]" displayFolder="" count="0" unbalanced="0"/>
    <cacheHierarchy uniqueName="[Test Plan].[Start Date Hierarchy By Week]" caption="Start Date Hierarchy By Week" defaultMemberUniqueName="[Test Plan].[Start Date Hierarchy By Week].[All]" allUniqueName="[Test Plan].[Start Date Hierarchy By Week].[All]" dimensionUniqueName="[Test Plan]" displayFolder="" count="0" unbalanced="0"/>
    <cacheHierarchy uniqueName="[Test Plan].[Test Plan ID]" caption="Test Plan Id" attribute="1" defaultMemberUniqueName="[Test Plan].[Test Plan ID].[All]" allUniqueName="[Test Plan].[Test Plan ID].[All]" dimensionUniqueName="[Test Plan]" displayFolder="" count="0" unbalanced="0"/>
    <cacheHierarchy uniqueName="[Test Plan].[Test Plan Name]" caption="Test Plan Name" attribute="1" defaultMemberUniqueName="[Test Plan].[Test Plan Name].[All]" allUniqueName="[Test Plan].[Test Plan Name].[All]" dimensionUniqueName="[Test Plan]" displayFolder="" count="0" unbalanced="0"/>
    <cacheHierarchy uniqueName="[Test Plan].[Test Plan Owner]" caption="Test Plan Owner" attribute="1" defaultMemberUniqueName="[Test Plan].[Test Plan Owner].[All]" allUniqueName="[Test Plan].[Test Plan Owner].[All]" dimensionUniqueName="[Test Plan]" displayFolder="" count="0" unbalanced="0"/>
    <cacheHierarchy uniqueName="[Test Plan].[Test Plan State]" caption="Test Plan State" attribute="1" defaultMemberUniqueName="[Test Plan].[Test Plan State].[All]" allUniqueName="[Test Plan].[Test Plan State].[All]" dimensionUniqueName="[Test Plan]" displayFolder="" count="0" unbalanced="0"/>
    <cacheHierarchy uniqueName="[Test Plan].[Test Plan State ID]" caption="Test Plan State Id" attribute="1" defaultMemberUniqueName="[Test Plan].[Test Plan State ID].[All]" allUniqueName="[Test Plan].[Test Plan State ID].[All]" dimensionUniqueName="[Test Plan]" displayFolder="" count="0" unbalanced="0"/>
    <cacheHierarchy uniqueName="[Test Result].[Area Hierarchy]" caption="Area Hierarchy" defaultMemberUniqueName="[Test Result].[Area Hierarchy].[All]" allUniqueName="[Test Result].[Area Hierarchy].[All]" dimensionUniqueName="[Test Result]" displayFolder="" count="0" unbalanced="0"/>
    <cacheHierarchy uniqueName="[Test Result].[Area Path]" caption="Area Path" attribute="1" defaultMemberUniqueName="[Test Result].[Area Path].[All]" allUniqueName="[Test Result].[Area Path].[All]" dimensionUniqueName="[Test Result]" displayFolder="\" count="0" unbalanced="0"/>
    <cacheHierarchy uniqueName="[Test Result].[Failure Type]" caption="Failure Type" attribute="1" defaultMemberUniqueName="[Test Result].[Failure Type].[All]" allUniqueName="[Test Result].[Failure Type].[All]" dimensionUniqueName="[Test Result]" displayFolder="" count="0" unbalanced="0"/>
    <cacheHierarchy uniqueName="[Test Result].[Failure Type Id]" caption="Failure Type Id" attribute="1" defaultMemberUniqueName="[Test Result].[Failure Type Id].[All]" allUniqueName="[Test Result].[Failure Type Id].[All]" dimensionUniqueName="[Test Result]" displayFolder="" count="0" unbalanced="0"/>
    <cacheHierarchy uniqueName="[Test Result].[Iteration Hierarchy]" caption="Iteration Hierarchy" defaultMemberUniqueName="[Test Result].[Iteration Hierarchy].[All]" allUniqueName="[Test Result].[Iteration Hierarchy].[All]" dimensionUniqueName="[Test Result]" displayFolder="" count="0" unbalanced="0"/>
    <cacheHierarchy uniqueName="[Test Result].[Iteration Path]" caption="Iteration Path" attribute="1" defaultMemberUniqueName="[Test Result].[Iteration Path].[All]" allUniqueName="[Test Result].[Iteration Path].[All]" dimensionUniqueName="[Test Result]" displayFolder="\" count="0" unbalanced="0"/>
    <cacheHierarchy uniqueName="[Test Result].[Outcome]" caption="Outcome" attribute="1" defaultMemberUniqueName="[Test Result].[Outcome].[All]" allUniqueName="[Test Result].[Outcome].[All]" dimensionUniqueName="[Test Result]" displayFolder="" count="0" unbalanced="0"/>
    <cacheHierarchy uniqueName="[Test Result].[Outcome Id]" caption="Outcome Id" attribute="1" defaultMemberUniqueName="[Test Result].[Outcome Id].[All]" allUniqueName="[Test Result].[Outcome Id].[All]" dimensionUniqueName="[Test Result]" displayFolder="" count="0" unbalanced="0"/>
    <cacheHierarchy uniqueName="[Test Result].[Readiness State]" caption="Readiness State" attribute="1" defaultMemberUniqueName="[Test Result].[Readiness State].[All]" allUniqueName="[Test Result].[Readiness State].[All]" dimensionUniqueName="[Test Result]" displayFolder="" count="0" unbalanced="0"/>
    <cacheHierarchy uniqueName="[Test Result].[Readiness State Id]" caption="Readiness State Id" attribute="1" defaultMemberUniqueName="[Test Result].[Readiness State Id].[All]" allUniqueName="[Test Result].[Readiness State Id].[All]" dimensionUniqueName="[Test Result]" displayFolder="" count="0" unbalanced="0"/>
    <cacheHierarchy uniqueName="[Test Result].[Resolution State]" caption="Resolution State" attribute="1" defaultMemberUniqueName="[Test Result].[Resolution State].[All]" allUniqueName="[Test Result].[Resolution State].[All]" dimensionUniqueName="[Test Result]" displayFolder="" count="0" unbalanced="0"/>
    <cacheHierarchy uniqueName="[Test Result].[Test Result Executed By]" caption="Test Result Executed By" attribute="1" defaultMemberUniqueName="[Test Result].[Test Result Executed By].[All]" allUniqueName="[Test Result].[Test Result Executed By].[All]" dimensionUniqueName="[Test Result]" displayFolder="" count="0" unbalanced="0"/>
    <cacheHierarchy uniqueName="[Test Result].[Test Result Owner]" caption="Test Result Owner" attribute="1" defaultMemberUniqueName="[Test Result].[Test Result Owner].[All]" allUniqueName="[Test Result].[Test Result Owner].[All]" dimensionUniqueName="[Test Result]" displayFolder="" count="0" unbalanced="0"/>
    <cacheHierarchy uniqueName="[Test Result].[Test Result Priority]" caption="Test Result Priority" attribute="1" defaultMemberUniqueName="[Test Result].[Test Result Priority].[All]" allUniqueName="[Test Result].[Test Result Priority].[All]" dimensionUniqueName="[Test Result]" displayFolder="" count="0" unbalanced="0"/>
    <cacheHierarchy uniqueName="[Test Run].[Complete Date Hierarchy By Month]" caption="Complete Date Hierarchy By Month" defaultMemberUniqueName="[Test Run].[Complete Date Hierarchy By Month].[All]" allUniqueName="[Test Run].[Complete Date Hierarchy By Month].[All]" dimensionUniqueName="[Test Run]" displayFolder="" count="0" unbalanced="0"/>
    <cacheHierarchy uniqueName="[Test Run].[Complete Date Hierarchy By Week]" caption="Complete Date Hierarchy By Week" defaultMemberUniqueName="[Test Run].[Complete Date Hierarchy By Week].[All]" allUniqueName="[Test Run].[Complete Date Hierarchy By Week].[All]" dimensionUniqueName="[Test Run]" displayFolder="" count="0" unbalanced="0"/>
    <cacheHierarchy uniqueName="[Test Run].[Creation Date Hierarchy By Month]" caption="Creation Date Hierarchy By Month" defaultMemberUniqueName="[Test Run].[Creation Date Hierarchy By Month].[All]" allUniqueName="[Test Run].[Creation Date Hierarchy By Month].[All]" dimensionUniqueName="[Test Run]" displayFolder="" count="0" unbalanced="0"/>
    <cacheHierarchy uniqueName="[Test Run].[Creation Date Hierarchy By Week]" caption="Creation Date Hierarchy By Week" defaultMemberUniqueName="[Test Run].[Creation Date Hierarchy By Week].[All]" allUniqueName="[Test Run].[Creation Date Hierarchy By Week].[All]" dimensionUniqueName="[Test Run]" displayFolder="" count="0" unbalanced="0"/>
    <cacheHierarchy uniqueName="[Test Run].[Is Automated]" caption="Is Automated" attribute="1" defaultMemberUniqueName="[Test Run].[Is Automated].[All]" allUniqueName="[Test Run].[Is Automated].[All]" dimensionUniqueName="[Test Run]" displayFolder="" count="0" unbalanced="0"/>
    <cacheHierarchy uniqueName="[Test Run].[Is Build Verification Run]" caption="Is Build Verification Run" attribute="1" defaultMemberUniqueName="[Test Run].[Is Build Verification Run].[All]" allUniqueName="[Test Run].[Is Build Verification Run].[All]" dimensionUniqueName="[Test Run]" displayFolder="" count="0" unbalanced="0"/>
    <cacheHierarchy uniqueName="[Test Run].[Start Date Hierarchy By Month]" caption="Start Date Hierarchy By Month" defaultMemberUniqueName="[Test Run].[Start Date Hierarchy By Month].[All]" allUniqueName="[Test Run].[Start Date Hierarchy By Month].[All]" dimensionUniqueName="[Test Run]" displayFolder="" count="0" unbalanced="0"/>
    <cacheHierarchy uniqueName="[Test Run].[Start Date Hierarchy By Week]" caption="Start Date Hierarchy By Week" defaultMemberUniqueName="[Test Run].[Start Date Hierarchy By Week].[All]" allUniqueName="[Test Run].[Start Date Hierarchy By Week].[All]" dimensionUniqueName="[Test Run]" displayFolder="" count="0" unbalanced="0"/>
    <cacheHierarchy uniqueName="[Test Run].[Test Run ID]" caption="Test Run Id" attribute="1" defaultMemberUniqueName="[Test Run].[Test Run ID].[All]" allUniqueName="[Test Run].[Test Run ID].[All]" dimensionUniqueName="[Test Run]" displayFolder="" count="0" unbalanced="0"/>
    <cacheHierarchy uniqueName="[Test Run].[Test Run Owner]" caption="Test Run Owner" attribute="1" defaultMemberUniqueName="[Test Run].[Test Run Owner].[All]" allUniqueName="[Test Run].[Test Run Owner].[All]" dimensionUniqueName="[Test Run]" displayFolder="" count="0" unbalanced="0"/>
    <cacheHierarchy uniqueName="[Test Run].[Test Run State]" caption="Test Run State" attribute="1" defaultMemberUniqueName="[Test Run].[Test Run State].[All]" allUniqueName="[Test Run].[Test Run State].[All]" dimensionUniqueName="[Test Run]" displayFolder="" count="0" unbalanced="0"/>
    <cacheHierarchy uniqueName="[Test Run].[Test Run State Id]" caption="Test Run State Id" attribute="1" defaultMemberUniqueName="[Test Run].[Test Run State Id].[All]" allUniqueName="[Test Run].[Test Run State Id].[All]" dimensionUniqueName="[Test Run]" displayFolder="" count="0" unbalanced="0"/>
    <cacheHierarchy uniqueName="[Test Run].[Test Run Title]" caption="Test Run Title" attribute="1" defaultMemberUniqueName="[Test Run].[Test Run Title].[All]" allUniqueName="[Test Run].[Test Run Title].[All]" dimensionUniqueName="[Test Run]" displayFolder="" count="0" unbalanced="0"/>
    <cacheHierarchy uniqueName="[Test Suite].[Suite Path]" caption="Suite Path" attribute="1" defaultMemberUniqueName="[Test Suite].[Suite Path].[All]" allUniqueName="[Test Suite].[Suite Path].[All]" dimensionUniqueName="[Test Suite]" displayFolder="" count="0" unbalanced="0"/>
    <cacheHierarchy uniqueName="[Test Suite].[Test Suite Hierarchy]" caption="Test Suite Hierarchy" defaultMemberUniqueName="[Test Suite].[Test Suite Hierarchy].[All]" allUniqueName="[Test Suite].[Test Suite Hierarchy].[All]" dimensionUniqueName="[Test Suite]" displayFolder="" count="0" unbalanced="0"/>
    <cacheHierarchy uniqueName="[Version Control Changeset].[Changeset ID]" caption="Changeset ID" attribute="1" defaultMemberUniqueName="[Version Control Changeset].[Changeset ID].[All]" allUniqueName="[Version Control Changeset].[Changeset ID].[All]" dimensionUniqueName="[Version Control Changeset]" displayFolder="" count="0" unbalanced="0"/>
    <cacheHierarchy uniqueName="[Version Control Changeset].[Changeset Title]" caption="Description" attribute="1" defaultMemberUniqueName="[Version Control Changeset].[Changeset Title].[All]" allUniqueName="[Version Control Changeset].[Changeset Title].[All]" dimensionUniqueName="[Version Control Changeset]" displayFolder="" count="0" unbalanced="0"/>
    <cacheHierarchy uniqueName="[Version Control Changeset].[Checked In By]" caption="Checked In By" attribute="1" defaultMemberUniqueName="[Version Control Changeset].[Checked In By].[All]" allUniqueName="[Version Control Changeset].[Checked In By].[All]" dimensionUniqueName="[Version Control Changeset]" displayFolder="" count="0" unbalanced="0"/>
    <cacheHierarchy uniqueName="[Version Control Changeset].[Policy Override Comment]" caption="Policy Override Comment" attribute="1" defaultMemberUniqueName="[Version Control Changeset].[Policy Override Comment].[All]" allUniqueName="[Version Control Changeset].[Policy Override Comment].[All]" dimensionUniqueName="[Version Control Changeset]" displayFolder="" count="0" unbalanced="0"/>
    <cacheHierarchy uniqueName="[Version Control File].[File Extension]" caption="Version Control File.File Extension" attribute="1" defaultMemberUniqueName="[Version Control File].[File Extension].[All]" allUniqueName="[Version Control File].[File Extension].[All]" dimensionUniqueName="[Version Control File]" displayFolder="" count="0" unbalanced="0"/>
    <cacheHierarchy uniqueName="[Version Control File].[File Hierarchy]" caption="Version Control File.File Hierarchy" defaultMemberUniqueName="[Version Control File].[File Hierarchy].[All]" allUniqueName="[Version Control File].[File Hierarchy].[All]" dimensionUniqueName="[Version Control File]" displayFolder="" count="0" unbalanced="1"/>
    <cacheHierarchy uniqueName="[Work Item].[Area Hierarchy]" caption="Work Item.Area Hierarchy" defaultMemberUniqueName="[Work Item].[Area Hierarchy].[All]" allUniqueName="[Work Item].[Area Hierarchy].[All]" dimensionUniqueName="[Work Item]" displayFolder="" count="16" unbalanced="0">
      <fieldsUsage count="16">
        <fieldUsage x="-1"/>
        <fieldUsage x="8"/>
        <fieldUsage x="9"/>
        <fieldUsage x="10"/>
        <fieldUsage x="11"/>
        <fieldUsage x="12"/>
        <fieldUsage x="13"/>
        <fieldUsage x="14"/>
        <fieldUsage x="15"/>
        <fieldUsage x="16"/>
        <fieldUsage x="17"/>
        <fieldUsage x="18"/>
        <fieldUsage x="19"/>
        <fieldUsage x="20"/>
        <fieldUsage x="21"/>
        <fieldUsage x="22"/>
      </fieldsUsage>
    </cacheHierarchy>
    <cacheHierarchy uniqueName="[Work Item].[Area Path]" caption="Work Item.Area Path" attribute="1" defaultMemberUniqueName="[Work Item].[Area Path].[All]" allUniqueName="[Work Item].[Area Path].[All]" dimensionUniqueName="[Work Item]" displayFolder="\" count="0" unbalanced="0"/>
    <cacheHierarchy uniqueName="[Work Item].[Iteration Hierarchy]" caption="Work Item.Iteration Hierarchy" defaultMemberUniqueName="[Work Item].[Iteration Hierarchy].[All]" allUniqueName="[Work Item].[Iteration Hierarchy].[All]" dimensionUniqueName="[Work Item]" displayFolder="" count="16" unbalanced="0">
      <fieldsUsage count="16">
        <fieldUsage x="-1"/>
        <fieldUsage x="44"/>
        <fieldUsage x="45"/>
        <fieldUsage x="46"/>
        <fieldUsage x="47"/>
        <fieldUsage x="48"/>
        <fieldUsage x="49"/>
        <fieldUsage x="50"/>
        <fieldUsage x="51"/>
        <fieldUsage x="52"/>
        <fieldUsage x="53"/>
        <fieldUsage x="54"/>
        <fieldUsage x="55"/>
        <fieldUsage x="56"/>
        <fieldUsage x="57"/>
        <fieldUsage x="58"/>
      </fieldsUsage>
    </cacheHierarchy>
    <cacheHierarchy uniqueName="[Work Item].[Iteration Path]" caption="Work Item.Iteration Path" attribute="1" defaultMemberUniqueName="[Work Item].[Iteration Path].[All]" allUniqueName="[Work Item].[Iteration Path].[All]" dimensionUniqueName="[Work Item]" displayFolder="\" count="0" unbalanced="0"/>
    <cacheHierarchy uniqueName="[Work Item].[Microsoft_VSTS_Build_FoundIn]" caption="Work Item.Found In" attribute="1" defaultMemberUniqueName="[Work Item].[Microsoft_VSTS_Build_FoundIn].[All]" allUniqueName="[Work Item].[Microsoft_VSTS_Build_FoundIn].[All]" dimensionUniqueName="[Work Item]" displayFolder="Microsoft.VSTS.Build" count="0" unbalanced="0"/>
    <cacheHierarchy uniqueName="[Work Item].[Microsoft_VSTS_Build_IntegrationBuild]" caption="Work Item.Integration Build" attribute="1" defaultMemberUniqueName="[Work Item].[Microsoft_VSTS_Build_IntegrationBuild].[All]" allUniqueName="[Work Item].[Microsoft_VSTS_Build_IntegrationBuild].[All]" dimensionUniqueName="[Work Item]" displayFolder="Microsoft.VSTS.Build" count="0" unbalanced="0"/>
    <cacheHierarchy uniqueName="[Work Item].[Microsoft_VSTS_CMMI_Blocked]" caption="Work Item.Blocked" attribute="1" defaultMemberUniqueName="[Work Item].[Microsoft_VSTS_CMMI_Blocked].[All]" allUniqueName="[Work Item].[Microsoft_VSTS_CMMI_Blocked].[All]" dimensionUniqueName="[Work Item]" displayFolder="Microsoft.VSTS.CMMI" count="0" unbalanced="0"/>
    <cacheHierarchy uniqueName="[Work Item].[Microsoft_VSTS_CMMI_RequirementType]" caption="Work Item.Requirement Type" attribute="1" defaultMemberUniqueName="[Work Item].[Microsoft_VSTS_CMMI_RequirementType].[All]" allUniqueName="[Work Item].[Microsoft_VSTS_CMMI_RequirementType].[All]" dimensionUniqueName="[Work Item]" displayFolder="Microsoft.VSTS.CMMI" count="0" unbalanced="0"/>
    <cacheHierarchy uniqueName="[Work Item].[Microsoft_VSTS_CMMI_TaskType]" caption="Work Item.Task Type" attribute="1" defaultMemberUniqueName="[Work Item].[Microsoft_VSTS_CMMI_TaskType].[All]" allUniqueName="[Work Item].[Microsoft_VSTS_CMMI_TaskType].[All]" dimensionUniqueName="[Work Item]" displayFolder="Microsoft.VSTS.CMMI" count="0" unbalanced="0"/>
    <cacheHierarchy uniqueName="[Work Item].[Microsoft_VSTS_Common_ActivatedBy]" caption="Work Item.Activated By" attribute="1" defaultMemberUniqueName="[Work Item].[Microsoft_VSTS_Common_ActivatedBy].[All]" allUniqueName="[Work Item].[Microsoft_VSTS_Common_ActivatedBy].[All]" dimensionUniqueName="[Work Item]" displayFolder="Microsoft.VSTS.Common" count="0" unbalanced="0"/>
    <cacheHierarchy uniqueName="[Work Item].[Microsoft_VSTS_Common_ActivatedDate]" caption="Work Item.Activated Date" attribute="1" defaultMemberUniqueName="[Work Item].[Microsoft_VSTS_Common_ActivatedDate].[All]" allUniqueName="[Work Item].[Microsoft_VSTS_Common_ActivatedDate].[All]" dimensionUniqueName="[Work Item]" displayFolder="Microsoft.VSTS.Common" count="0" unbalanced="0"/>
    <cacheHierarchy uniqueName="[Work Item].[Microsoft_VSTS_Common_ActivatedDate__HierarchyByMonth]" caption="Work Item.Activated Date Hierarchy By Month" defaultMemberUniqueName="[Work Item].[Microsoft_VSTS_Common_ActivatedDate__HierarchyByMonth].[All]" allUniqueName="[Work Item].[Microsoft_VSTS_Common_ActivatedDate__HierarchyByMonth].[All]" dimensionUniqueName="[Work Item]" displayFolder="Microsoft.VSTS.Common" count="0" unbalanced="0"/>
    <cacheHierarchy uniqueName="[Work Item].[Microsoft_VSTS_Common_ActivatedDate__HierarchyByWeek]" caption="Work Item.Activated Date Hierarchy By Week" defaultMemberUniqueName="[Work Item].[Microsoft_VSTS_Common_ActivatedDate__HierarchyByWeek].[All]" allUniqueName="[Work Item].[Microsoft_VSTS_Common_ActivatedDate__HierarchyByWeek].[All]" dimensionUniqueName="[Work Item]" displayFolder="Microsoft.VSTS.Common" count="0" unbalanced="0"/>
    <cacheHierarchy uniqueName="[Work Item].[Microsoft_VSTS_Common_Activity]" caption="Work Item.Activity" attribute="1" defaultMemberUniqueName="[Work Item].[Microsoft_VSTS_Common_Activity].[All]" allUniqueName="[Work Item].[Microsoft_VSTS_Common_Activity].[All]" dimensionUniqueName="[Work Item]" displayFolder="Microsoft.VSTS.Common" count="0" unbalanced="0"/>
    <cacheHierarchy uniqueName="[Work Item].[Microsoft_VSTS_Common_ClosedBy]" caption="Work Item.Closed By" attribute="1" defaultMemberUniqueName="[Work Item].[Microsoft_VSTS_Common_ClosedBy].[All]" allUniqueName="[Work Item].[Microsoft_VSTS_Common_ClosedBy].[All]" dimensionUniqueName="[Work Item]" displayFolder="Microsoft.VSTS.Common" count="0" unbalanced="0"/>
    <cacheHierarchy uniqueName="[Work Item].[Microsoft_VSTS_Common_ClosedDate]" caption="Work Item.Closed Date" attribute="1" defaultMemberUniqueName="[Work Item].[Microsoft_VSTS_Common_ClosedDate].[All]" allUniqueName="[Work Item].[Microsoft_VSTS_Common_ClosedDate].[All]" dimensionUniqueName="[Work Item]" displayFolder="Microsoft.VSTS.Common" count="0" unbalanced="0"/>
    <cacheHierarchy uniqueName="[Work Item].[Microsoft_VSTS_Common_ClosedDate__HierarchyByMonth]" caption="Work Item.Closed Date Hierarchy By Month" defaultMemberUniqueName="[Work Item].[Microsoft_VSTS_Common_ClosedDate__HierarchyByMonth].[All]" allUniqueName="[Work Item].[Microsoft_VSTS_Common_ClosedDate__HierarchyByMonth].[All]" dimensionUniqueName="[Work Item]" displayFolder="Microsoft.VSTS.Common" count="0" unbalanced="0"/>
    <cacheHierarchy uniqueName="[Work Item].[Microsoft_VSTS_Common_ClosedDate__HierarchyByWeek]" caption="Work Item.Closed Date Hierarchy By Week" defaultMemberUniqueName="[Work Item].[Microsoft_VSTS_Common_ClosedDate__HierarchyByWeek].[All]" allUniqueName="[Work Item].[Microsoft_VSTS_Common_ClosedDate__HierarchyByWeek].[All]" dimensionUniqueName="[Work Item]" displayFolder="Microsoft.VSTS.Common" count="0" unbalanced="0"/>
    <cacheHierarchy uniqueName="[Work Item].[Microsoft_VSTS_Common_Discipline]" caption="Work Item.Discipline" attribute="1" defaultMemberUniqueName="[Work Item].[Microsoft_VSTS_Common_Discipline].[All]" allUniqueName="[Work Item].[Microsoft_VSTS_Common_Discipline].[All]" dimensionUniqueName="[Work Item]" displayFolder="Microsoft.VSTS.Common" count="0" unbalanced="0"/>
    <cacheHierarchy uniqueName="[Work Item].[Microsoft_VSTS_Common_Issue]" caption="Work Item.Issue" attribute="1" defaultMemberUniqueName="[Work Item].[Microsoft_VSTS_Common_Issue].[All]" allUniqueName="[Work Item].[Microsoft_VSTS_Common_Issue].[All]" dimensionUniqueName="[Work Item]" displayFolder="Microsoft.VSTS.Common" count="0" unbalanced="0"/>
    <cacheHierarchy uniqueName="[Work Item].[Microsoft_VSTS_Common_Priority]" caption="Work Item.Priority" attribute="1" defaultMemberUniqueName="[Work Item].[Microsoft_VSTS_Common_Priority].[All]" allUniqueName="[Work Item].[Microsoft_VSTS_Common_Priority].[All]" dimensionUniqueName="[Work Item]" displayFolder="Microsoft.VSTS.Common" count="0" unbalanced="0"/>
    <cacheHierarchy uniqueName="[Work Item].[Microsoft_VSTS_Common_Rank]" caption="Work Item.Rank" attribute="1" defaultMemberUniqueName="[Work Item].[Microsoft_VSTS_Common_Rank].[All]" allUniqueName="[Work Item].[Microsoft_VSTS_Common_Rank].[All]" dimensionUniqueName="[Work Item]" displayFolder="Microsoft.VSTS.Common" count="0" unbalanced="0"/>
    <cacheHierarchy uniqueName="[Work Item].[Microsoft_VSTS_Common_ResolvedBy]" caption="Work Item.Resolved By" attribute="1" defaultMemberUniqueName="[Work Item].[Microsoft_VSTS_Common_ResolvedBy].[All]" allUniqueName="[Work Item].[Microsoft_VSTS_Common_ResolvedBy].[All]" dimensionUniqueName="[Work Item]" displayFolder="Microsoft.VSTS.Common" count="0" unbalanced="0"/>
    <cacheHierarchy uniqueName="[Work Item].[Microsoft_VSTS_Common_ResolvedDate]" caption="Work Item.Resolved Date" attribute="1" defaultMemberUniqueName="[Work Item].[Microsoft_VSTS_Common_ResolvedDate].[All]" allUniqueName="[Work Item].[Microsoft_VSTS_Common_ResolvedDate].[All]" dimensionUniqueName="[Work Item]" displayFolder="Microsoft.VSTS.Common" count="0" unbalanced="0"/>
    <cacheHierarchy uniqueName="[Work Item].[Microsoft_VSTS_Common_ResolvedDate__HierarchyByMonth]" caption="Work Item.Resolved Date Hierarchy By Month" defaultMemberUniqueName="[Work Item].[Microsoft_VSTS_Common_ResolvedDate__HierarchyByMonth].[All]" allUniqueName="[Work Item].[Microsoft_VSTS_Common_ResolvedDate__HierarchyByMonth].[All]" dimensionUniqueName="[Work Item]" displayFolder="Microsoft.VSTS.Common" count="0" unbalanced="0"/>
    <cacheHierarchy uniqueName="[Work Item].[Microsoft_VSTS_Common_ResolvedDate__HierarchyByWeek]" caption="Work Item.Resolved Date Hierarchy By Week" defaultMemberUniqueName="[Work Item].[Microsoft_VSTS_Common_ResolvedDate__HierarchyByWeek].[All]" allUniqueName="[Work Item].[Microsoft_VSTS_Common_ResolvedDate__HierarchyByWeek].[All]" dimensionUniqueName="[Work Item]" displayFolder="Microsoft.VSTS.Common" count="0" unbalanced="0"/>
    <cacheHierarchy uniqueName="[Work Item].[Microsoft_VSTS_Common_ResolvedReason]" caption="Work Item.Resolved Reason" attribute="1" defaultMemberUniqueName="[Work Item].[Microsoft_VSTS_Common_ResolvedReason].[All]" allUniqueName="[Work Item].[Microsoft_VSTS_Common_ResolvedReason].[All]" dimensionUniqueName="[Work Item]" displayFolder="Microsoft.VSTS.Common" count="0" unbalanced="0"/>
    <cacheHierarchy uniqueName="[Work Item].[Microsoft_VSTS_Common_Risk]" caption="Work Item.Risk" attribute="1" defaultMemberUniqueName="[Work Item].[Microsoft_VSTS_Common_Risk].[All]" allUniqueName="[Work Item].[Microsoft_VSTS_Common_Risk].[All]" dimensionUniqueName="[Work Item]" displayFolder="Microsoft.VSTS.Common" count="0" unbalanced="0"/>
    <cacheHierarchy uniqueName="[Work Item].[Microsoft_VSTS_Common_Severity]" caption="Work Item.Severity" attribute="1" defaultMemberUniqueName="[Work Item].[Microsoft_VSTS_Common_Severity].[All]" allUniqueName="[Work Item].[Microsoft_VSTS_Common_Severity].[All]" dimensionUniqueName="[Work Item]" displayFolder="Microsoft.VSTS.Common" count="0" unbalanced="0"/>
    <cacheHierarchy uniqueName="[Work Item].[Microsoft_VSTS_Common_StackRank]" caption="Work Item.Stack Rank" attribute="1" defaultMemberUniqueName="[Work Item].[Microsoft_VSTS_Common_StackRank].[All]" allUniqueName="[Work Item].[Microsoft_VSTS_Common_StackRank].[All]" dimensionUniqueName="[Work Item]" displayFolder="Microsoft.VSTS.Common" count="0" unbalanced="0"/>
    <cacheHierarchy uniqueName="[Work Item].[Microsoft_VSTS_Common_Triage]" caption="Work Item.Triage" attribute="1" defaultMemberUniqueName="[Work Item].[Microsoft_VSTS_Common_Triage].[All]" allUniqueName="[Work Item].[Microsoft_VSTS_Common_Triage].[All]" dimensionUniqueName="[Work Item]" displayFolder="Microsoft.VSTS.Common" count="0" unbalanced="0"/>
    <cacheHierarchy uniqueName="[Work Item].[Microsoft_VSTS_Scheduling_DueDate]" caption="Work Item.Due Date" attribute="1" defaultMemberUniqueName="[Work Item].[Microsoft_VSTS_Scheduling_DueDate].[All]" allUniqueName="[Work Item].[Microsoft_VSTS_Scheduling_DueDate].[All]" dimensionUniqueName="[Work Item]" displayFolder="Microsoft.VSTS.Scheduling" count="0" unbalanced="0"/>
    <cacheHierarchy uniqueName="[Work Item].[Microsoft_VSTS_Scheduling_DueDate__HierarchyByMonth]" caption="Work Item.Due Date Hierarchy By Month" defaultMemberUniqueName="[Work Item].[Microsoft_VSTS_Scheduling_DueDate__HierarchyByMonth].[All]" allUniqueName="[Work Item].[Microsoft_VSTS_Scheduling_DueDate__HierarchyByMonth].[All]" dimensionUniqueName="[Work Item]" displayFolder="Microsoft.VSTS.Scheduling" count="0" unbalanced="0"/>
    <cacheHierarchy uniqueName="[Work Item].[Microsoft_VSTS_Scheduling_DueDate__HierarchyByWeek]" caption="Work Item.Due Date Hierarchy By Week" defaultMemberUniqueName="[Work Item].[Microsoft_VSTS_Scheduling_DueDate__HierarchyByWeek].[All]" allUniqueName="[Work Item].[Microsoft_VSTS_Scheduling_DueDate__HierarchyByWeek].[All]" dimensionUniqueName="[Work Item]" displayFolder="Microsoft.VSTS.Scheduling" count="0" unbalanced="0"/>
    <cacheHierarchy uniqueName="[Work Item].[Microsoft_VSTS_Scheduling_FinishDate]" caption="Work Item.Finish Date" attribute="1" defaultMemberUniqueName="[Work Item].[Microsoft_VSTS_Scheduling_FinishDate].[All]" allUniqueName="[Work Item].[Microsoft_VSTS_Scheduling_FinishDate].[All]" dimensionUniqueName="[Work Item]" displayFolder="Microsoft.VSTS.Scheduling" count="0" unbalanced="0"/>
    <cacheHierarchy uniqueName="[Work Item].[Microsoft_VSTS_Scheduling_FinishDate__HierarchyByMonth]" caption="Work Item.Finish Date Hierarchy By Month" defaultMemberUniqueName="[Work Item].[Microsoft_VSTS_Scheduling_FinishDate__HierarchyByMonth].[All]" allUniqueName="[Work Item].[Microsoft_VSTS_Scheduling_FinishDate__HierarchyByMonth].[All]" dimensionUniqueName="[Work Item]" displayFolder="Microsoft.VSTS.Scheduling" count="0" unbalanced="0"/>
    <cacheHierarchy uniqueName="[Work Item].[Microsoft_VSTS_Scheduling_FinishDate__HierarchyByWeek]" caption="Work Item.Finish Date Hierarchy By Week" defaultMemberUniqueName="[Work Item].[Microsoft_VSTS_Scheduling_FinishDate__HierarchyByWeek].[All]" allUniqueName="[Work Item].[Microsoft_VSTS_Scheduling_FinishDate__HierarchyByWeek].[All]" dimensionUniqueName="[Work Item]" displayFolder="Microsoft.VSTS.Scheduling" count="0" unbalanced="0"/>
    <cacheHierarchy uniqueName="[Work Item].[Microsoft_VSTS_Scheduling_StartDate]" caption="Work Item.Start Date" attribute="1" defaultMemberUniqueName="[Work Item].[Microsoft_VSTS_Scheduling_StartDate].[All]" allUniqueName="[Work Item].[Microsoft_VSTS_Scheduling_StartDate].[All]" dimensionUniqueName="[Work Item]" displayFolder="Microsoft.VSTS.Scheduling" count="0" unbalanced="0"/>
    <cacheHierarchy uniqueName="[Work Item].[Microsoft_VSTS_Scheduling_StartDate__HierarchyByMonth]" caption="Work Item.Start Date Hierarchy By Month" defaultMemberUniqueName="[Work Item].[Microsoft_VSTS_Scheduling_StartDate__HierarchyByMonth].[All]" allUniqueName="[Work Item].[Microsoft_VSTS_Scheduling_StartDate__HierarchyByMonth].[All]" dimensionUniqueName="[Work Item]" displayFolder="Microsoft.VSTS.Scheduling" count="0" unbalanced="0"/>
    <cacheHierarchy uniqueName="[Work Item].[Microsoft_VSTS_Scheduling_StartDate__HierarchyByWeek]" caption="Work Item.Start Date Hierarchy By Week" defaultMemberUniqueName="[Work Item].[Microsoft_VSTS_Scheduling_StartDate__HierarchyByWeek].[All]" allUniqueName="[Work Item].[Microsoft_VSTS_Scheduling_StartDate__HierarchyByWeek].[All]" dimensionUniqueName="[Work Item]" displayFolder="Microsoft.VSTS.Scheduling" count="0" unbalanced="0"/>
    <cacheHierarchy uniqueName="[Work Item].[Microsoft_VSTS_Scheduling_TaskHierarchy]" caption="Work Item.Task Hierarchy" attribute="1" defaultMemberUniqueName="[Work Item].[Microsoft_VSTS_Scheduling_TaskHierarchy].[All]" allUniqueName="[Work Item].[Microsoft_VSTS_Scheduling_TaskHierarchy].[All]" dimensionUniqueName="[Work Item]" displayFolder="Microsoft.VSTS.Scheduling" count="0" unbalanced="0"/>
    <cacheHierarchy uniqueName="[Work Item].[Microsoft_VSTS_TCM_AutomationStatus]" caption="Work Item.Automation status" attribute="1" defaultMemberUniqueName="[Work Item].[Microsoft_VSTS_TCM_AutomationStatus].[All]" allUniqueName="[Work Item].[Microsoft_VSTS_TCM_AutomationStatus].[All]" dimensionUniqueName="[Work Item]" displayFolder="Microsoft.VSTS.TCM" count="0" unbalanced="0"/>
    <cacheHierarchy uniqueName="[Work Item].[Previous State]" caption="Work Item.Previous State" attribute="1" defaultMemberUniqueName="[Work Item].[Previous State].[All]" allUniqueName="[Work Item].[Previous State].[All]" dimensionUniqueName="[Work Item]" displayFolder="" count="0" unbalanced="0"/>
    <cacheHierarchy uniqueName="[Work Item].[System_AssignedTo]" caption="Work Item.Assigned To" attribute="1" defaultMemberUniqueName="[Work Item].[System_AssignedTo].[All]" allUniqueName="[Work Item].[System_AssignedTo].[All]" dimensionUniqueName="[Work Item]" displayFolder="\" count="0" unbalanced="0"/>
    <cacheHierarchy uniqueName="[Work Item].[System_ChangedBy]" caption="Work Item.Changed By" attribute="1" defaultMemberUniqueName="[Work Item].[System_ChangedBy].[All]" allUniqueName="[Work Item].[System_ChangedBy].[All]" dimensionUniqueName="[Work Item]" displayFolder="\" count="0" unbalanced="0"/>
    <cacheHierarchy uniqueName="[Work Item].[System_ChangedDate]" caption="Work Item.Changed Date" attribute="1" defaultMemberUniqueName="[Work Item].[System_ChangedDate].[All]" allUniqueName="[Work Item].[System_ChangedDate].[All]" dimensionUniqueName="[Work Item]" displayFolder="\" count="0" unbalanced="0"/>
    <cacheHierarchy uniqueName="[Work Item].[System_ChangedDate__HierarchyByMonth]" caption="Work Item.Changed Date Hierarchy By Month" defaultMemberUniqueName="[Work Item].[System_ChangedDate__HierarchyByMonth].[All]" allUniqueName="[Work Item].[System_ChangedDate__HierarchyByMonth].[All]" dimensionUniqueName="[Work Item]" displayFolder="\" count="0" unbalanced="0"/>
    <cacheHierarchy uniqueName="[Work Item].[System_ChangedDate__HierarchyByWeek]" caption="Work Item.Changed Date Hierarchy By Week" defaultMemberUniqueName="[Work Item].[System_ChangedDate__HierarchyByWeek].[All]" allUniqueName="[Work Item].[System_ChangedDate__HierarchyByWeek].[All]" dimensionUniqueName="[Work Item]" displayFolder="\" count="0" unbalanced="0"/>
    <cacheHierarchy uniqueName="[Work Item].[System_CreatedBy]" caption="Work Item.Created By" attribute="1" defaultMemberUniqueName="[Work Item].[System_CreatedBy].[All]" allUniqueName="[Work Item].[System_CreatedBy].[All]" dimensionUniqueName="[Work Item]" displayFolder="\" count="0" unbalanced="0"/>
    <cacheHierarchy uniqueName="[Work Item].[System_CreatedDate]" caption="Work Item.Created Date" attribute="1" defaultMemberUniqueName="[Work Item].[System_CreatedDate].[All]" allUniqueName="[Work Item].[System_CreatedDate].[All]" dimensionUniqueName="[Work Item]" displayFolder="\" count="0" unbalanced="0"/>
    <cacheHierarchy uniqueName="[Work Item].[System_CreatedDate__HierarchyByMonth]" caption="Work Item.Created Date Hierarchy By Month" defaultMemberUniqueName="[Work Item].[System_CreatedDate__HierarchyByMonth].[All]" allUniqueName="[Work Item].[System_CreatedDate__HierarchyByMonth].[All]" dimensionUniqueName="[Work Item]" displayFolder="\" count="0" unbalanced="0"/>
    <cacheHierarchy uniqueName="[Work Item].[System_CreatedDate__HierarchyByWeek]" caption="Work Item.Created Date Hierarchy By Week" defaultMemberUniqueName="[Work Item].[System_CreatedDate__HierarchyByWeek].[All]" allUniqueName="[Work Item].[System_CreatedDate__HierarchyByWeek].[All]" dimensionUniqueName="[Work Item]" displayFolder="\" count="0" unbalanced="0"/>
    <cacheHierarchy uniqueName="[Work Item].[System_Id]" caption="Work Item.ID" attribute="1" defaultMemberUniqueName="[Work Item].[System_Id].[All]" allUniqueName="[Work Item].[System_Id].[All]" dimensionUniqueName="[Work Item]" displayFolder="\" count="0" unbalanced="0"/>
    <cacheHierarchy uniqueName="[Work Item].[System_Reason]" caption="Work Item.Reason" attribute="1" defaultMemberUniqueName="[Work Item].[System_Reason].[All]" allUniqueName="[Work Item].[System_Reason].[All]" dimensionUniqueName="[Work Item]" displayFolder="\" count="0" unbalanced="0"/>
    <cacheHierarchy uniqueName="[Work Item].[System_Revision]" caption="Work Item.Rev" attribute="1" defaultMemberUniqueName="[Work Item].[System_Revision].[All]" allUniqueName="[Work Item].[System_Revision].[All]" dimensionUniqueName="[Work Item]" displayFolder="\" count="0" unbalanced="0"/>
    <cacheHierarchy uniqueName="[Work Item].[System_State]" caption="Work Item.State" attribute="1" defaultMemberUniqueName="[Work Item].[System_State].[All]" allUniqueName="[Work Item].[System_State].[All]" dimensionUniqueName="[Work Item]" displayFolder="\" count="2" unbalanced="0">
      <fieldsUsage count="2">
        <fieldUsage x="-1"/>
        <fieldUsage x="38"/>
      </fieldsUsage>
    </cacheHierarchy>
    <cacheHierarchy uniqueName="[Work Item].[System_Title]" caption="Work Item.Title" attribute="1" defaultMemberUniqueName="[Work Item].[System_Title].[All]" allUniqueName="[Work Item].[System_Title].[All]" dimensionUniqueName="[Work Item]" displayFolder="\" count="0" unbalanced="0"/>
    <cacheHierarchy uniqueName="[Work Item].[System_WorkItemType]" caption="Work Item.Work Item Type" attribute="1" defaultMemberUniqueName="[Work Item].[System_WorkItemType].[All]" allUniqueName="[Work Item].[System_WorkItemType].[All]" dimensionUniqueName="[Work Item]" displayFolder="\" count="2" unbalanced="0">
      <fieldsUsage count="2">
        <fieldUsage x="-1"/>
        <fieldUsage x="37"/>
      </fieldsUsage>
    </cacheHierarchy>
    <cacheHierarchy uniqueName="[Work Item Category].[Name]" caption="Name" attribute="1" defaultMemberUniqueName="[Work Item Category].[Name].[All]" allUniqueName="[Work Item Category].[Name].[All]" dimensionUniqueName="[Work Item Category]" displayFolder="" count="0" unbalanced="0"/>
    <cacheHierarchy uniqueName="[Work Item Category].[Reference Name]" caption="Reference Name" attribute="1" defaultMemberUniqueName="[Work Item Category].[Reference Name].[All]" allUniqueName="[Work Item Category].[Reference Name].[All]" dimensionUniqueName="[Work Item Category]" displayFolder="" count="0" unbalanced="0"/>
    <cacheHierarchy uniqueName="[Work Item Link Type].[Is Deleted]" caption="Is Deleted" attribute="1" defaultMemberUniqueName="[Work Item Link Type].[Is Deleted].[All]" allUniqueName="[Work Item Link Type].[Is Deleted].[All]" dimensionUniqueName="[Work Item Link Type]" displayFolder="" count="0" unbalanced="0"/>
    <cacheHierarchy uniqueName="[Work Item Link Type].[Is Deny Delete]" caption="Is Deny Delete" attribute="1" defaultMemberUniqueName="[Work Item Link Type].[Is Deny Delete].[All]" allUniqueName="[Work Item Link Type].[Is Deny Delete].[All]" dimensionUniqueName="[Work Item Link Type]" displayFolder="" count="0" unbalanced="0"/>
    <cacheHierarchy uniqueName="[Work Item Link Type].[Is Deny Edit]" caption="Is Deny Edit" attribute="1" defaultMemberUniqueName="[Work Item Link Type].[Is Deny Edit].[All]" allUniqueName="[Work Item Link Type].[Is Deny Edit].[All]" dimensionUniqueName="[Work Item Link Type]" displayFolder="" count="0" unbalanced="0"/>
    <cacheHierarchy uniqueName="[Work Item Link Type].[Is Directional]" caption="Is Directional" attribute="1" defaultMemberUniqueName="[Work Item Link Type].[Is Directional].[All]" allUniqueName="[Work Item Link Type].[Is Directional].[All]" dimensionUniqueName="[Work Item Link Type]" displayFolder="" count="0" unbalanced="0"/>
    <cacheHierarchy uniqueName="[Work Item Link Type].[Is Disabled]" caption="Is Disabled" attribute="1" defaultMemberUniqueName="[Work Item Link Type].[Is Disabled].[All]" allUniqueName="[Work Item Link Type].[Is Disabled].[All]" dimensionUniqueName="[Work Item Link Type]" displayFolder="" count="0" unbalanced="0"/>
    <cacheHierarchy uniqueName="[Work Item Link Type].[Is Non Circular]" caption="Is Non-Circular" attribute="1" defaultMemberUniqueName="[Work Item Link Type].[Is Non Circular].[All]" allUniqueName="[Work Item Link Type].[Is Non Circular].[All]" dimensionUniqueName="[Work Item Link Type]" displayFolder="" count="0" unbalanced="0"/>
    <cacheHierarchy uniqueName="[Work Item Link Type].[Is Single Target]" caption="Is Single Target" attribute="1" defaultMemberUniqueName="[Work Item Link Type].[Is Single Target].[All]" allUniqueName="[Work Item Link Type].[Is Single Target].[All]" dimensionUniqueName="[Work Item Link Type]" displayFolder="" count="0" unbalanced="0"/>
    <cacheHierarchy uniqueName="[Work Item Link Type].[Is Tree]" caption="Is Tree" attribute="1" defaultMemberUniqueName="[Work Item Link Type].[Is Tree].[All]" allUniqueName="[Work Item Link Type].[Is Tree].[All]" dimensionUniqueName="[Work Item Link Type]" displayFolder="" count="0" unbalanced="0"/>
    <cacheHierarchy uniqueName="[Work Item Link Type].[Link ID]" caption="Link ID" attribute="1" defaultMemberUniqueName="[Work Item Link Type].[Link ID].[All]" allUniqueName="[Work Item Link Type].[Link ID].[All]" dimensionUniqueName="[Work Item Link Type]" displayFolder="" count="0" unbalanced="0"/>
    <cacheHierarchy uniqueName="[Work Item Link Type].[Link Name]" caption="Link Name" attribute="1" defaultMemberUniqueName="[Work Item Link Type].[Link Name].[All]" allUniqueName="[Work Item Link Type].[Link Name].[All]" dimensionUniqueName="[Work Item Link Type]" displayFolder="" count="0" unbalanced="0"/>
    <cacheHierarchy uniqueName="[Work Item Link Type].[Reference Name]" caption="Reference Name" attribute="1" defaultMemberUniqueName="[Work Item Link Type].[Reference Name].[All]" allUniqueName="[Work Item Link Type].[Reference Name].[All]" dimensionUniqueName="[Work Item Link Type]" displayFolder="" count="0" unbalanced="0"/>
    <cacheHierarchy uniqueName="[Work Item Link Type].[Rules]" caption="Rules" attribute="1" defaultMemberUniqueName="[Work Item Link Type].[Rules].[All]" allUniqueName="[Work Item Link Type].[Rules].[All]" dimensionUniqueName="[Work Item Link Type]" displayFolder="" count="0" unbalanced="0"/>
    <cacheHierarchy uniqueName="[Work Item Linked].[Area Hierarchy]" caption="Work Item Linked.Area Hierarchy" defaultMemberUniqueName="[Work Item Linked].[Area Hierarchy].[All]" allUniqueName="[Work Item Linked].[Area Hierarchy].[All]" dimensionUniqueName="[Work Item Linked]" displayFolder="" count="0" unbalanced="0"/>
    <cacheHierarchy uniqueName="[Work Item Linked].[Area Path]" caption="Work Item Linked.Area Path" attribute="1" defaultMemberUniqueName="[Work Item Linked].[Area Path].[All]" allUniqueName="[Work Item Linked].[Area Path].[All]" dimensionUniqueName="[Work Item Linked]" displayFolder="\" count="0" unbalanced="0"/>
    <cacheHierarchy uniqueName="[Work Item Linked].[Iteration Hierarchy]" caption="Work Item Linked.Iteration Hierarchy" defaultMemberUniqueName="[Work Item Linked].[Iteration Hierarchy].[All]" allUniqueName="[Work Item Linked].[Iteration Hierarchy].[All]" dimensionUniqueName="[Work Item Linked]" displayFolder="" count="0" unbalanced="0"/>
    <cacheHierarchy uniqueName="[Work Item Linked].[Iteration Path]" caption="Work Item Linked.Iteration Path" attribute="1" defaultMemberUniqueName="[Work Item Linked].[Iteration Path].[All]" allUniqueName="[Work Item Linked].[Iteration Path].[All]" dimensionUniqueName="[Work Item Linked]" displayFolder="\" count="0" unbalanced="0"/>
    <cacheHierarchy uniqueName="[Work Item Linked].[Microsoft_VSTS_Build_FoundIn]" caption="Work Item Linked.Found In" attribute="1" defaultMemberUniqueName="[Work Item Linked].[Microsoft_VSTS_Build_FoundIn].[All]" allUniqueName="[Work Item Linked].[Microsoft_VSTS_Build_FoundIn].[All]" dimensionUniqueName="[Work Item Linked]" displayFolder="Microsoft.VSTS.Build" count="0" unbalanced="0"/>
    <cacheHierarchy uniqueName="[Work Item Linked].[Microsoft_VSTS_Build_IntegrationBuild]" caption="Work Item Linked.Integration Build" attribute="1" defaultMemberUniqueName="[Work Item Linked].[Microsoft_VSTS_Build_IntegrationBuild].[All]" allUniqueName="[Work Item Linked].[Microsoft_VSTS_Build_IntegrationBuild].[All]" dimensionUniqueName="[Work Item Linked]" displayFolder="Microsoft.VSTS.Build" count="0" unbalanced="0"/>
    <cacheHierarchy uniqueName="[Work Item Linked].[Microsoft_VSTS_CMMI_Blocked]" caption="Work Item Linked.Blocked" attribute="1" defaultMemberUniqueName="[Work Item Linked].[Microsoft_VSTS_CMMI_Blocked].[All]" allUniqueName="[Work Item Linked].[Microsoft_VSTS_CMMI_Blocked].[All]" dimensionUniqueName="[Work Item Linked]" displayFolder="Microsoft.VSTS.CMMI" count="0" unbalanced="0"/>
    <cacheHierarchy uniqueName="[Work Item Linked].[Microsoft_VSTS_CMMI_RequirementType]" caption="Work Item Linked.Requirement Type" attribute="1" defaultMemberUniqueName="[Work Item Linked].[Microsoft_VSTS_CMMI_RequirementType].[All]" allUniqueName="[Work Item Linked].[Microsoft_VSTS_CMMI_RequirementType].[All]" dimensionUniqueName="[Work Item Linked]" displayFolder="Microsoft.VSTS.CMMI" count="0" unbalanced="0"/>
    <cacheHierarchy uniqueName="[Work Item Linked].[Microsoft_VSTS_CMMI_TaskType]" caption="Work Item Linked.Task Type" attribute="1" defaultMemberUniqueName="[Work Item Linked].[Microsoft_VSTS_CMMI_TaskType].[All]" allUniqueName="[Work Item Linked].[Microsoft_VSTS_CMMI_TaskType].[All]" dimensionUniqueName="[Work Item Linked]" displayFolder="Microsoft.VSTS.CMMI" count="0" unbalanced="0"/>
    <cacheHierarchy uniqueName="[Work Item Linked].[Microsoft_VSTS_Common_ActivatedBy]" caption="Work Item Linked.Activated By" attribute="1" defaultMemberUniqueName="[Work Item Linked].[Microsoft_VSTS_Common_ActivatedBy].[All]" allUniqueName="[Work Item Linked].[Microsoft_VSTS_Common_ActivatedBy].[All]" dimensionUniqueName="[Work Item Linked]" displayFolder="Microsoft.VSTS.Common" count="0" unbalanced="0"/>
    <cacheHierarchy uniqueName="[Work Item Linked].[Microsoft_VSTS_Common_ActivatedDate]" caption="Work Item Linked.Activated Date" attribute="1" defaultMemberUniqueName="[Work Item Linked].[Microsoft_VSTS_Common_ActivatedDate].[All]" allUniqueName="[Work Item Linked].[Microsoft_VSTS_Common_ActivatedDate].[All]" dimensionUniqueName="[Work Item Linked]" displayFolder="Microsoft.VSTS.Common" count="0" unbalanced="0"/>
    <cacheHierarchy uniqueName="[Work Item Linked].[Microsoft_VSTS_Common_ActivatedDate__HierarchyByMonth]" caption="Work Item Linked.Activated Date Hierarchy By Month" defaultMemberUniqueName="[Work Item Linked].[Microsoft_VSTS_Common_ActivatedDate__HierarchyByMonth].[All]" allUniqueName="[Work Item Linked].[Microsoft_VSTS_Common_ActivatedDate__HierarchyByMonth].[All]" dimensionUniqueName="[Work Item Linked]" displayFolder="Microsoft.VSTS.Common" count="0" unbalanced="0"/>
    <cacheHierarchy uniqueName="[Work Item Linked].[Microsoft_VSTS_Common_ActivatedDate__HierarchyByWeek]" caption="Work Item Linked.Activated Date Hierarchy By Week" defaultMemberUniqueName="[Work Item Linked].[Microsoft_VSTS_Common_ActivatedDate__HierarchyByWeek].[All]" allUniqueName="[Work Item Linked].[Microsoft_VSTS_Common_ActivatedDate__HierarchyByWeek].[All]" dimensionUniqueName="[Work Item Linked]" displayFolder="Microsoft.VSTS.Common" count="0" unbalanced="0"/>
    <cacheHierarchy uniqueName="[Work Item Linked].[Microsoft_VSTS_Common_Activity]" caption="Work Item Linked.Activity" attribute="1" defaultMemberUniqueName="[Work Item Linked].[Microsoft_VSTS_Common_Activity].[All]" allUniqueName="[Work Item Linked].[Microsoft_VSTS_Common_Activity].[All]" dimensionUniqueName="[Work Item Linked]" displayFolder="Microsoft.VSTS.Common" count="0" unbalanced="0"/>
    <cacheHierarchy uniqueName="[Work Item Linked].[Microsoft_VSTS_Common_ClosedBy]" caption="Work Item Linked.Closed By" attribute="1" defaultMemberUniqueName="[Work Item Linked].[Microsoft_VSTS_Common_ClosedBy].[All]" allUniqueName="[Work Item Linked].[Microsoft_VSTS_Common_ClosedBy].[All]" dimensionUniqueName="[Work Item Linked]" displayFolder="Microsoft.VSTS.Common" count="0" unbalanced="0"/>
    <cacheHierarchy uniqueName="[Work Item Linked].[Microsoft_VSTS_Common_ClosedDate]" caption="Work Item Linked.Closed Date" attribute="1" defaultMemberUniqueName="[Work Item Linked].[Microsoft_VSTS_Common_ClosedDate].[All]" allUniqueName="[Work Item Linked].[Microsoft_VSTS_Common_ClosedDate].[All]" dimensionUniqueName="[Work Item Linked]" displayFolder="Microsoft.VSTS.Common" count="0" unbalanced="0"/>
    <cacheHierarchy uniqueName="[Work Item Linked].[Microsoft_VSTS_Common_ClosedDate__HierarchyByMonth]" caption="Work Item Linked.Closed Date Hierarchy By Month" defaultMemberUniqueName="[Work Item Linked].[Microsoft_VSTS_Common_ClosedDate__HierarchyByMonth].[All]" allUniqueName="[Work Item Linked].[Microsoft_VSTS_Common_ClosedDate__HierarchyByMonth].[All]" dimensionUniqueName="[Work Item Linked]" displayFolder="Microsoft.VSTS.Common" count="0" unbalanced="0"/>
    <cacheHierarchy uniqueName="[Work Item Linked].[Microsoft_VSTS_Common_ClosedDate__HierarchyByWeek]" caption="Work Item Linked.Closed Date Hierarchy By Week" defaultMemberUniqueName="[Work Item Linked].[Microsoft_VSTS_Common_ClosedDate__HierarchyByWeek].[All]" allUniqueName="[Work Item Linked].[Microsoft_VSTS_Common_ClosedDate__HierarchyByWeek].[All]" dimensionUniqueName="[Work Item Linked]" displayFolder="Microsoft.VSTS.Common" count="0" unbalanced="0"/>
    <cacheHierarchy uniqueName="[Work Item Linked].[Microsoft_VSTS_Common_Discipline]" caption="Work Item Linked.Discipline" attribute="1" defaultMemberUniqueName="[Work Item Linked].[Microsoft_VSTS_Common_Discipline].[All]" allUniqueName="[Work Item Linked].[Microsoft_VSTS_Common_Discipline].[All]" dimensionUniqueName="[Work Item Linked]" displayFolder="Microsoft.VSTS.Common" count="0" unbalanced="0"/>
    <cacheHierarchy uniqueName="[Work Item Linked].[Microsoft_VSTS_Common_Issue]" caption="Work Item Linked.Issue" attribute="1" defaultMemberUniqueName="[Work Item Linked].[Microsoft_VSTS_Common_Issue].[All]" allUniqueName="[Work Item Linked].[Microsoft_VSTS_Common_Issue].[All]" dimensionUniqueName="[Work Item Linked]" displayFolder="Microsoft.VSTS.Common" count="0" unbalanced="0"/>
    <cacheHierarchy uniqueName="[Work Item Linked].[Microsoft_VSTS_Common_Priority]" caption="Work Item Linked.Priority" attribute="1" defaultMemberUniqueName="[Work Item Linked].[Microsoft_VSTS_Common_Priority].[All]" allUniqueName="[Work Item Linked].[Microsoft_VSTS_Common_Priority].[All]" dimensionUniqueName="[Work Item Linked]" displayFolder="Microsoft.VSTS.Common" count="0" unbalanced="0"/>
    <cacheHierarchy uniqueName="[Work Item Linked].[Microsoft_VSTS_Common_Rank]" caption="Work Item Linked.Rank" attribute="1" defaultMemberUniqueName="[Work Item Linked].[Microsoft_VSTS_Common_Rank].[All]" allUniqueName="[Work Item Linked].[Microsoft_VSTS_Common_Rank].[All]" dimensionUniqueName="[Work Item Linked]" displayFolder="Microsoft.VSTS.Common" count="0" unbalanced="0"/>
    <cacheHierarchy uniqueName="[Work Item Linked].[Microsoft_VSTS_Common_ResolvedBy]" caption="Work Item Linked.Resolved By" attribute="1" defaultMemberUniqueName="[Work Item Linked].[Microsoft_VSTS_Common_ResolvedBy].[All]" allUniqueName="[Work Item Linked].[Microsoft_VSTS_Common_ResolvedBy].[All]" dimensionUniqueName="[Work Item Linked]" displayFolder="Microsoft.VSTS.Common" count="0" unbalanced="0"/>
    <cacheHierarchy uniqueName="[Work Item Linked].[Microsoft_VSTS_Common_ResolvedDate]" caption="Work Item Linked.Resolved Date" attribute="1" defaultMemberUniqueName="[Work Item Linked].[Microsoft_VSTS_Common_ResolvedDate].[All]" allUniqueName="[Work Item Linked].[Microsoft_VSTS_Common_ResolvedDate].[All]" dimensionUniqueName="[Work Item Linked]" displayFolder="Microsoft.VSTS.Common" count="0" unbalanced="0"/>
    <cacheHierarchy uniqueName="[Work Item Linked].[Microsoft_VSTS_Common_ResolvedDate__HierarchyByMonth]" caption="Work Item Linked.Resolved Date Hierarchy By Month" defaultMemberUniqueName="[Work Item Linked].[Microsoft_VSTS_Common_ResolvedDate__HierarchyByMonth].[All]" allUniqueName="[Work Item Linked].[Microsoft_VSTS_Common_ResolvedDate__HierarchyByMonth].[All]" dimensionUniqueName="[Work Item Linked]" displayFolder="Microsoft.VSTS.Common" count="0" unbalanced="0"/>
    <cacheHierarchy uniqueName="[Work Item Linked].[Microsoft_VSTS_Common_ResolvedDate__HierarchyByWeek]" caption="Work Item Linked.Resolved Date Hierarchy By Week" defaultMemberUniqueName="[Work Item Linked].[Microsoft_VSTS_Common_ResolvedDate__HierarchyByWeek].[All]" allUniqueName="[Work Item Linked].[Microsoft_VSTS_Common_ResolvedDate__HierarchyByWeek].[All]" dimensionUniqueName="[Work Item Linked]" displayFolder="Microsoft.VSTS.Common" count="0" unbalanced="0"/>
    <cacheHierarchy uniqueName="[Work Item Linked].[Microsoft_VSTS_Common_ResolvedReason]" caption="Work Item Linked.Resolved Reason" attribute="1" defaultMemberUniqueName="[Work Item Linked].[Microsoft_VSTS_Common_ResolvedReason].[All]" allUniqueName="[Work Item Linked].[Microsoft_VSTS_Common_ResolvedReason].[All]" dimensionUniqueName="[Work Item Linked]" displayFolder="Microsoft.VSTS.Common" count="0" unbalanced="0"/>
    <cacheHierarchy uniqueName="[Work Item Linked].[Microsoft_VSTS_Common_Risk]" caption="Work Item Linked.Risk" attribute="1" defaultMemberUniqueName="[Work Item Linked].[Microsoft_VSTS_Common_Risk].[All]" allUniqueName="[Work Item Linked].[Microsoft_VSTS_Common_Risk].[All]" dimensionUniqueName="[Work Item Linked]" displayFolder="Microsoft.VSTS.Common" count="0" unbalanced="0"/>
    <cacheHierarchy uniqueName="[Work Item Linked].[Microsoft_VSTS_Common_Severity]" caption="Work Item Linked.Severity" attribute="1" defaultMemberUniqueName="[Work Item Linked].[Microsoft_VSTS_Common_Severity].[All]" allUniqueName="[Work Item Linked].[Microsoft_VSTS_Common_Severity].[All]" dimensionUniqueName="[Work Item Linked]" displayFolder="Microsoft.VSTS.Common" count="0" unbalanced="0"/>
    <cacheHierarchy uniqueName="[Work Item Linked].[Microsoft_VSTS_Common_StackRank]" caption="Work Item Linked.Stack Rank" attribute="1" defaultMemberUniqueName="[Work Item Linked].[Microsoft_VSTS_Common_StackRank].[All]" allUniqueName="[Work Item Linked].[Microsoft_VSTS_Common_StackRank].[All]" dimensionUniqueName="[Work Item Linked]" displayFolder="Microsoft.VSTS.Common" count="0" unbalanced="0"/>
    <cacheHierarchy uniqueName="[Work Item Linked].[Microsoft_VSTS_Common_Triage]" caption="Work Item Linked.Triage" attribute="1" defaultMemberUniqueName="[Work Item Linked].[Microsoft_VSTS_Common_Triage].[All]" allUniqueName="[Work Item Linked].[Microsoft_VSTS_Common_Triage].[All]" dimensionUniqueName="[Work Item Linked]" displayFolder="Microsoft.VSTS.Common" count="0" unbalanced="0"/>
    <cacheHierarchy uniqueName="[Work Item Linked].[Microsoft_VSTS_Scheduling_DueDate]" caption="Work Item Linked.Due Date" attribute="1" defaultMemberUniqueName="[Work Item Linked].[Microsoft_VSTS_Scheduling_DueDate].[All]" allUniqueName="[Work Item Linked].[Microsoft_VSTS_Scheduling_DueDate].[All]" dimensionUniqueName="[Work Item Linked]" displayFolder="Microsoft.VSTS.Scheduling" count="0" unbalanced="0"/>
    <cacheHierarchy uniqueName="[Work Item Linked].[Microsoft_VSTS_Scheduling_DueDate__HierarchyByMonth]" caption="Work Item Linked.Due Date Hierarchy By Month" defaultMemberUniqueName="[Work Item Linked].[Microsoft_VSTS_Scheduling_DueDate__HierarchyByMonth].[All]" allUniqueName="[Work Item Linked].[Microsoft_VSTS_Scheduling_DueDate__HierarchyByMonth].[All]" dimensionUniqueName="[Work Item Linked]" displayFolder="Microsoft.VSTS.Scheduling" count="0" unbalanced="0"/>
    <cacheHierarchy uniqueName="[Work Item Linked].[Microsoft_VSTS_Scheduling_DueDate__HierarchyByWeek]" caption="Work Item Linked.Due Date Hierarchy By Week" defaultMemberUniqueName="[Work Item Linked].[Microsoft_VSTS_Scheduling_DueDate__HierarchyByWeek].[All]" allUniqueName="[Work Item Linked].[Microsoft_VSTS_Scheduling_DueDate__HierarchyByWeek].[All]" dimensionUniqueName="[Work Item Linked]" displayFolder="Microsoft.VSTS.Scheduling" count="0" unbalanced="0"/>
    <cacheHierarchy uniqueName="[Work Item Linked].[Microsoft_VSTS_Scheduling_FinishDate]" caption="Work Item Linked.Finish Date" attribute="1" defaultMemberUniqueName="[Work Item Linked].[Microsoft_VSTS_Scheduling_FinishDate].[All]" allUniqueName="[Work Item Linked].[Microsoft_VSTS_Scheduling_FinishDate].[All]" dimensionUniqueName="[Work Item Linked]" displayFolder="Microsoft.VSTS.Scheduling" count="0" unbalanced="0"/>
    <cacheHierarchy uniqueName="[Work Item Linked].[Microsoft_VSTS_Scheduling_FinishDate__HierarchyByMonth]" caption="Work Item Linked.Finish Date Hierarchy By Month" defaultMemberUniqueName="[Work Item Linked].[Microsoft_VSTS_Scheduling_FinishDate__HierarchyByMonth].[All]" allUniqueName="[Work Item Linked].[Microsoft_VSTS_Scheduling_FinishDate__HierarchyByMonth].[All]" dimensionUniqueName="[Work Item Linked]" displayFolder="Microsoft.VSTS.Scheduling" count="0" unbalanced="0"/>
    <cacheHierarchy uniqueName="[Work Item Linked].[Microsoft_VSTS_Scheduling_FinishDate__HierarchyByWeek]" caption="Work Item Linked.Finish Date Hierarchy By Week" defaultMemberUniqueName="[Work Item Linked].[Microsoft_VSTS_Scheduling_FinishDate__HierarchyByWeek].[All]" allUniqueName="[Work Item Linked].[Microsoft_VSTS_Scheduling_FinishDate__HierarchyByWeek].[All]" dimensionUniqueName="[Work Item Linked]" displayFolder="Microsoft.VSTS.Scheduling" count="0" unbalanced="0"/>
    <cacheHierarchy uniqueName="[Work Item Linked].[Microsoft_VSTS_Scheduling_StartDate]" caption="Work Item Linked.Start Date" attribute="1" defaultMemberUniqueName="[Work Item Linked].[Microsoft_VSTS_Scheduling_StartDate].[All]" allUniqueName="[Work Item Linked].[Microsoft_VSTS_Scheduling_StartDate].[All]" dimensionUniqueName="[Work Item Linked]" displayFolder="Microsoft.VSTS.Scheduling" count="0" unbalanced="0"/>
    <cacheHierarchy uniqueName="[Work Item Linked].[Microsoft_VSTS_Scheduling_StartDate__HierarchyByMonth]" caption="Work Item Linked.Start Date Hierarchy By Month" defaultMemberUniqueName="[Work Item Linked].[Microsoft_VSTS_Scheduling_StartDate__HierarchyByMonth].[All]" allUniqueName="[Work Item Linked].[Microsoft_VSTS_Scheduling_StartDate__HierarchyByMonth].[All]" dimensionUniqueName="[Work Item Linked]" displayFolder="Microsoft.VSTS.Scheduling" count="0" unbalanced="0"/>
    <cacheHierarchy uniqueName="[Work Item Linked].[Microsoft_VSTS_Scheduling_StartDate__HierarchyByWeek]" caption="Work Item Linked.Start Date Hierarchy By Week" defaultMemberUniqueName="[Work Item Linked].[Microsoft_VSTS_Scheduling_StartDate__HierarchyByWeek].[All]" allUniqueName="[Work Item Linked].[Microsoft_VSTS_Scheduling_StartDate__HierarchyByWeek].[All]" dimensionUniqueName="[Work Item Linked]" displayFolder="Microsoft.VSTS.Scheduling" count="0" unbalanced="0"/>
    <cacheHierarchy uniqueName="[Work Item Linked].[Microsoft_VSTS_Scheduling_TaskHierarchy]" caption="Work Item Linked.Task Hierarchy" attribute="1" defaultMemberUniqueName="[Work Item Linked].[Microsoft_VSTS_Scheduling_TaskHierarchy].[All]" allUniqueName="[Work Item Linked].[Microsoft_VSTS_Scheduling_TaskHierarchy].[All]" dimensionUniqueName="[Work Item Linked]" displayFolder="Microsoft.VSTS.Scheduling" count="0" unbalanced="0"/>
    <cacheHierarchy uniqueName="[Work Item Linked].[Microsoft_VSTS_TCM_AutomationStatus]" caption="Work Item Linked.Automation status" attribute="1" defaultMemberUniqueName="[Work Item Linked].[Microsoft_VSTS_TCM_AutomationStatus].[All]" allUniqueName="[Work Item Linked].[Microsoft_VSTS_TCM_AutomationStatus].[All]" dimensionUniqueName="[Work Item Linked]" displayFolder="Microsoft.VSTS.TCM" count="0" unbalanced="0"/>
    <cacheHierarchy uniqueName="[Work Item Linked].[Previous State]" caption="Work Item Linked.Previous State" attribute="1" defaultMemberUniqueName="[Work Item Linked].[Previous State].[All]" allUniqueName="[Work Item Linked].[Previous State].[All]" dimensionUniqueName="[Work Item Linked]" displayFolder="" count="0" unbalanced="0"/>
    <cacheHierarchy uniqueName="[Work Item Linked].[System_AssignedTo]" caption="Work Item Linked.Assigned To" attribute="1" defaultMemberUniqueName="[Work Item Linked].[System_AssignedTo].[All]" allUniqueName="[Work Item Linked].[System_AssignedTo].[All]" dimensionUniqueName="[Work Item Linked]" displayFolder="\" count="0" unbalanced="0"/>
    <cacheHierarchy uniqueName="[Work Item Linked].[System_ChangedBy]" caption="Work Item Linked.Changed By" attribute="1" defaultMemberUniqueName="[Work Item Linked].[System_ChangedBy].[All]" allUniqueName="[Work Item Linked].[System_ChangedBy].[All]" dimensionUniqueName="[Work Item Linked]" displayFolder="\" count="0" unbalanced="0"/>
    <cacheHierarchy uniqueName="[Work Item Linked].[System_ChangedDate]" caption="Work Item Linked.Changed Date" attribute="1" defaultMemberUniqueName="[Work Item Linked].[System_ChangedDate].[All]" allUniqueName="[Work Item Linked].[System_ChangedDate].[All]" dimensionUniqueName="[Work Item Linked]" displayFolder="\" count="0" unbalanced="0"/>
    <cacheHierarchy uniqueName="[Work Item Linked].[System_ChangedDate__HierarchyByMonth]" caption="Work Item Linked.Changed Date Hierarchy By Month" defaultMemberUniqueName="[Work Item Linked].[System_ChangedDate__HierarchyByMonth].[All]" allUniqueName="[Work Item Linked].[System_ChangedDate__HierarchyByMonth].[All]" dimensionUniqueName="[Work Item Linked]" displayFolder="\" count="0" unbalanced="0"/>
    <cacheHierarchy uniqueName="[Work Item Linked].[System_ChangedDate__HierarchyByWeek]" caption="Work Item Linked.Changed Date Hierarchy By Week" defaultMemberUniqueName="[Work Item Linked].[System_ChangedDate__HierarchyByWeek].[All]" allUniqueName="[Work Item Linked].[System_ChangedDate__HierarchyByWeek].[All]" dimensionUniqueName="[Work Item Linked]" displayFolder="\" count="0" unbalanced="0"/>
    <cacheHierarchy uniqueName="[Work Item Linked].[System_CreatedBy]" caption="Work Item Linked.Created By" attribute="1" defaultMemberUniqueName="[Work Item Linked].[System_CreatedBy].[All]" allUniqueName="[Work Item Linked].[System_CreatedBy].[All]" dimensionUniqueName="[Work Item Linked]" displayFolder="\" count="0" unbalanced="0"/>
    <cacheHierarchy uniqueName="[Work Item Linked].[System_CreatedDate]" caption="Work Item Linked.Created Date" attribute="1" defaultMemberUniqueName="[Work Item Linked].[System_CreatedDate].[All]" allUniqueName="[Work Item Linked].[System_CreatedDate].[All]" dimensionUniqueName="[Work Item Linked]" displayFolder="\" count="0" unbalanced="0"/>
    <cacheHierarchy uniqueName="[Work Item Linked].[System_CreatedDate__HierarchyByMonth]" caption="Work Item Linked.Created Date Hierarchy By Month" defaultMemberUniqueName="[Work Item Linked].[System_CreatedDate__HierarchyByMonth].[All]" allUniqueName="[Work Item Linked].[System_CreatedDate__HierarchyByMonth].[All]" dimensionUniqueName="[Work Item Linked]" displayFolder="\" count="0" unbalanced="0"/>
    <cacheHierarchy uniqueName="[Work Item Linked].[System_CreatedDate__HierarchyByWeek]" caption="Work Item Linked.Created Date Hierarchy By Week" defaultMemberUniqueName="[Work Item Linked].[System_CreatedDate__HierarchyByWeek].[All]" allUniqueName="[Work Item Linked].[System_CreatedDate__HierarchyByWeek].[All]" dimensionUniqueName="[Work Item Linked]" displayFolder="\" count="0" unbalanced="0"/>
    <cacheHierarchy uniqueName="[Work Item Linked].[System_Id]" caption="Work Item Linked.ID" attribute="1" defaultMemberUniqueName="[Work Item Linked].[System_Id].[All]" allUniqueName="[Work Item Linked].[System_Id].[All]" dimensionUniqueName="[Work Item Linked]" displayFolder="\" count="0" unbalanced="0"/>
    <cacheHierarchy uniqueName="[Work Item Linked].[System_Reason]" caption="Work Item Linked.Reason" attribute="1" defaultMemberUniqueName="[Work Item Linked].[System_Reason].[All]" allUniqueName="[Work Item Linked].[System_Reason].[All]" dimensionUniqueName="[Work Item Linked]" displayFolder="\" count="0" unbalanced="0"/>
    <cacheHierarchy uniqueName="[Work Item Linked].[System_Revision]" caption="Work Item Linked.Rev" attribute="1" defaultMemberUniqueName="[Work Item Linked].[System_Revision].[All]" allUniqueName="[Work Item Linked].[System_Revision].[All]" dimensionUniqueName="[Work Item Linked]" displayFolder="\" count="0" unbalanced="0"/>
    <cacheHierarchy uniqueName="[Work Item Linked].[System_State]" caption="Work Item Linked.State" attribute="1" defaultMemberUniqueName="[Work Item Linked].[System_State].[All]" allUniqueName="[Work Item Linked].[System_State].[All]" dimensionUniqueName="[Work Item Linked]" displayFolder="\" count="0" unbalanced="0"/>
    <cacheHierarchy uniqueName="[Work Item Linked].[System_Title]" caption="Work Item Linked.Title" attribute="1" defaultMemberUniqueName="[Work Item Linked].[System_Title].[All]" allUniqueName="[Work Item Linked].[System_Title].[All]" dimensionUniqueName="[Work Item Linked]" displayFolder="\" count="0" unbalanced="0"/>
    <cacheHierarchy uniqueName="[Work Item Linked].[System_WorkItemType]" caption="Work Item Linked.Work Item Type" attribute="1" defaultMemberUniqueName="[Work Item Linked].[System_WorkItemType].[All]" allUniqueName="[Work Item Linked].[System_WorkItemType].[All]" dimensionUniqueName="[Work Item Linked]" displayFolder="\" count="0" unbalanced="0"/>
    <cacheHierarchy uniqueName="[Work Item Tree].[Tree Type Name]" caption="Tree Type Name" attribute="1" defaultMemberUniqueName="[Work Item Tree].[Tree Type Name].[All]" allUniqueName="[Work Item Tree].[Tree Type Name].[All]" dimensionUniqueName="[Work Item Tree]" displayFolder="" count="0" unbalanced="0"/>
    <cacheHierarchy uniqueName="[Work Item Tree].[Work Item Tree Hierarchy]" caption="Work Item Tree Hierarchy" defaultMemberUniqueName="[Work Item Tree].[Work Item Tree Hierarchy].[All]" allUniqueName="[Work Item Tree].[Work Item Tree Hierarchy].[All]" dimensionUniqueName="[Work Item Tree]" displayFolder="\" count="0" unbalanced="1"/>
    <cacheHierarchy uniqueName="[Assembly].[AssemblySK]" caption="AssemblySK" attribute="1" keyAttribute="1" defaultMemberUniqueName="[Assembly].[AssemblySK].[All]" allUniqueName="[Assembly].[AssemblySK].[All]" dimensionUniqueName="[Assembly]" displayFolder="" count="0" unbalanced="0" hidden="1"/>
    <cacheHierarchy uniqueName="[Build].[Build BK]" caption="Build BK" attribute="1" defaultMemberUniqueName="[Build].[Build BK].[All]" allUniqueName="[Build].[Build BK].[All]" dimensionUniqueName="[Build]" displayFolder="" count="0" unbalanced="0" hidden="1"/>
    <cacheHierarchy uniqueName="[Build].[TeamProjectCollectionSK]" caption="TeamProjectCollectionSK" attribute="1" defaultMemberUniqueName="[Build].[TeamProjectCollectionSK].[All]" allUniqueName="[Build].[TeamProjectCollectionSK].[All]" dimensionUniqueName="[Build]" displayFolder="" count="0" unbalanced="0" hidden="1"/>
    <cacheHierarchy uniqueName="[Build Flavor].[BuildFlavorSK]" caption="BuildFlavorSK" attribute="1" keyAttribute="1" defaultMemberUniqueName="[Build Flavor].[BuildFlavorSK].[All]" allUniqueName="[Build Flavor].[BuildFlavorSK].[All]" dimensionUniqueName="[Build Flavor]" displayFolder="" count="0" unbalanced="0" hidden="1"/>
    <cacheHierarchy uniqueName="[Build Platform].[BuildPlatformSK]" caption="BuildPlatformSK" attribute="1" keyAttribute="1" defaultMemberUniqueName="[Build Platform].[BuildPlatformSK].[All]" allUniqueName="[Build Platform].[BuildPlatformSK].[All]" dimensionUniqueName="[Build Platform]" displayFolder="" count="0" unbalanced="0" hidden="1"/>
    <cacheHierarchy uniqueName="[Build Quality].[BuildQualitySK]" caption="BuildQualitySK" attribute="1" keyAttribute="1" defaultMemberUniqueName="[Build Quality].[BuildQualitySK].[All]" allUniqueName="[Build Quality].[BuildQualitySK].[All]" dimensionUniqueName="[Build Quality]" displayFolder="" count="0" unbalanced="0" hidden="1"/>
    <cacheHierarchy uniqueName="[Build Source Project File].[File]" caption="Source Project File.File" attribute="1" keyAttribute="1" defaultMemberUniqueName="[Build Source Project File].[File].[All]" allUniqueName="[Build Source Project File].[File].[All]" dimensionUniqueName="[Build Source Project File]" displayFolder="" count="0" unbalanced="0" hidden="1"/>
    <cacheHierarchy uniqueName="[Build Status].[BuildStatusSK]" caption="BuildStatusSK" attribute="1" keyAttribute="1" defaultMemberUniqueName="[Build Status].[BuildStatusSK].[All]" allUniqueName="[Build Status].[BuildStatusSK].[All]" dimensionUniqueName="[Build Status]" displayFolder="" count="0" unbalanced="0" hidden="1"/>
    <cacheHierarchy uniqueName="[Date].[DateSK]" caption="DateSK" attribute="1" time="1" keyAttribute="1" defaultMemberUniqueName="[Date].[DateSK].[All]" allUniqueName="[Date].[DateSK].[All]" dimensionUniqueName="[Date]" displayFolder="" count="0" unbalanced="0" hidden="1"/>
    <cacheHierarchy uniqueName="[Team Project].[Project Node GUID]" caption="Name" attribute="1" keyAttribute="1" defaultMemberUniqueName="[Team Project].[Project Node GUID].[All]" allUniqueName="[Team Project].[Project Node GUID].[All]" dimensionUniqueName="[Team Project]" displayFolder="" count="0" unbalanced="0" hidden="1"/>
    <cacheHierarchy uniqueName="[Team Project].[ProjectNodeSk]" caption="Name" attribute="1" defaultMemberUniqueName="[Team Project].[ProjectNodeSk].[All]" allUniqueName="[Team Project].[ProjectNodeSk].[All]" dimensionUniqueName="[Team Project]" displayFolder="" count="0" unbalanced="0" hidden="1"/>
    <cacheHierarchy uniqueName="[Team Project Reference].[Project Node GUID]" caption="GUID" attribute="1" defaultMemberUniqueName="[Team Project Reference].[Project Node GUID].[All]" allUniqueName="[Team Project Reference].[Project Node GUID].[All]" dimensionUniqueName="[Team Project Reference]" displayFolder="" count="0" unbalanced="0" hidden="1"/>
    <cacheHierarchy uniqueName="[Team Project Reference].[ProjectNodeSk]" caption="Name" attribute="1" keyAttribute="1" defaultMemberUniqueName="[Team Project Reference].[ProjectNodeSk].[All]" allUniqueName="[Team Project Reference].[ProjectNodeSk].[All]" dimensionUniqueName="[Team Project Reference]" displayFolder="" count="0" unbalanced="0" hidden="1"/>
    <cacheHierarchy uniqueName="[Test Case].[Area Team Project Collection]" caption="Team Project Collection" attribute="1" defaultMemberUniqueName="[Test Case].[Area Team Project Collection].[All]" allUniqueName="[Test Case].[Area Team Project Collection].[All]" dimensionUniqueName="[Test Case]" displayFolder="\" count="0" unbalanced="0" hidden="1"/>
    <cacheHierarchy uniqueName="[Test Case].[Area0]" caption="Area0" attribute="1" defaultMemberUniqueName="[Test Case].[Area0].[All]" allUniqueName="[Test Case].[Area0].[All]" dimensionUniqueName="[Test Case]" displayFolder="\" count="0" unbalanced="0" hidden="1"/>
    <cacheHierarchy uniqueName="[Test Case].[Area1]" caption="Area1" attribute="1" defaultMemberUniqueName="[Test Case].[Area1].[All]" allUniqueName="[Test Case].[Area1].[All]" dimensionUniqueName="[Test Case]" displayFolder="\" count="0" unbalanced="0" hidden="1"/>
    <cacheHierarchy uniqueName="[Test Case].[Area10]" caption="Area10" attribute="1" defaultMemberUniqueName="[Test Case].[Area10].[All]" allUniqueName="[Test Case].[Area10].[All]" dimensionUniqueName="[Test Case]" displayFolder="\" count="0" unbalanced="0" hidden="1"/>
    <cacheHierarchy uniqueName="[Test Case].[Area11]" caption="Area11" attribute="1" defaultMemberUniqueName="[Test Case].[Area11].[All]" allUniqueName="[Test Case].[Area11].[All]" dimensionUniqueName="[Test Case]" displayFolder="\" count="0" unbalanced="0" hidden="1"/>
    <cacheHierarchy uniqueName="[Test Case].[Area12]" caption="Area12" attribute="1" defaultMemberUniqueName="[Test Case].[Area12].[All]" allUniqueName="[Test Case].[Area12].[All]" dimensionUniqueName="[Test Case]" displayFolder="\" count="0" unbalanced="0" hidden="1"/>
    <cacheHierarchy uniqueName="[Test Case].[Area13]" caption="Area13" attribute="1" defaultMemberUniqueName="[Test Case].[Area13].[All]" allUniqueName="[Test Case].[Area13].[All]" dimensionUniqueName="[Test Case]" displayFolder="\" count="0" unbalanced="0" hidden="1"/>
    <cacheHierarchy uniqueName="[Test Case].[Area2]" caption="Area2" attribute="1" defaultMemberUniqueName="[Test Case].[Area2].[All]" allUniqueName="[Test Case].[Area2].[All]" dimensionUniqueName="[Test Case]" displayFolder="\" count="0" unbalanced="0" hidden="1"/>
    <cacheHierarchy uniqueName="[Test Case].[Area3]" caption="Area3" attribute="1" defaultMemberUniqueName="[Test Case].[Area3].[All]" allUniqueName="[Test Case].[Area3].[All]" dimensionUniqueName="[Test Case]" displayFolder="\" count="0" unbalanced="0" hidden="1"/>
    <cacheHierarchy uniqueName="[Test Case].[Area4]" caption="Area4" attribute="1" defaultMemberUniqueName="[Test Case].[Area4].[All]" allUniqueName="[Test Case].[Area4].[All]" dimensionUniqueName="[Test Case]" displayFolder="\" count="0" unbalanced="0" hidden="1"/>
    <cacheHierarchy uniqueName="[Test Case].[Area5]" caption="Area5" attribute="1" defaultMemberUniqueName="[Test Case].[Area5].[All]" allUniqueName="[Test Case].[Area5].[All]" dimensionUniqueName="[Test Case]" displayFolder="\" count="0" unbalanced="0" hidden="1"/>
    <cacheHierarchy uniqueName="[Test Case].[Area6]" caption="Area6" attribute="1" defaultMemberUniqueName="[Test Case].[Area6].[All]" allUniqueName="[Test Case].[Area6].[All]" dimensionUniqueName="[Test Case]" displayFolder="\" count="0" unbalanced="0" hidden="1"/>
    <cacheHierarchy uniqueName="[Test Case].[Area7]" caption="Area7" attribute="1" defaultMemberUniqueName="[Test Case].[Area7].[All]" allUniqueName="[Test Case].[Area7].[All]" dimensionUniqueName="[Test Case]" displayFolder="\" count="0" unbalanced="0" hidden="1"/>
    <cacheHierarchy uniqueName="[Test Case].[Area8]" caption="Area8" attribute="1" defaultMemberUniqueName="[Test Case].[Area8].[All]" allUniqueName="[Test Case].[Area8].[All]" dimensionUniqueName="[Test Case]" displayFolder="\" count="0" unbalanced="0" hidden="1"/>
    <cacheHierarchy uniqueName="[Test Case].[Area9]" caption="Area9" attribute="1" defaultMemberUniqueName="[Test Case].[Area9].[All]" allUniqueName="[Test Case].[Area9].[All]" dimensionUniqueName="[Test Case]" displayFolder="\" count="0" unbalanced="0" hidden="1"/>
    <cacheHierarchy uniqueName="[Test Case].[Iteration Team Project Collection]" caption="Team Project Collection" attribute="1" defaultMemberUniqueName="[Test Case].[Iteration Team Project Collection].[All]" allUniqueName="[Test Case].[Iteration Team Project Collection].[All]" dimensionUniqueName="[Test Case]" displayFolder="\" count="0" unbalanced="0" hidden="1"/>
    <cacheHierarchy uniqueName="[Test Case].[Iteration0]" caption="Iteration0" attribute="1" defaultMemberUniqueName="[Test Case].[Iteration0].[All]" allUniqueName="[Test Case].[Iteration0].[All]" dimensionUniqueName="[Test Case]" displayFolder="\" count="0" unbalanced="0" hidden="1"/>
    <cacheHierarchy uniqueName="[Test Case].[Iteration1]" caption="Iteration1" attribute="1" defaultMemberUniqueName="[Test Case].[Iteration1].[All]" allUniqueName="[Test Case].[Iteration1].[All]" dimensionUniqueName="[Test Case]" displayFolder="\" count="0" unbalanced="0" hidden="1"/>
    <cacheHierarchy uniqueName="[Test Case].[Iteration10]" caption="Iteration10" attribute="1" defaultMemberUniqueName="[Test Case].[Iteration10].[All]" allUniqueName="[Test Case].[Iteration10].[All]" dimensionUniqueName="[Test Case]" displayFolder="\" count="0" unbalanced="0" hidden="1"/>
    <cacheHierarchy uniqueName="[Test Case].[Iteration11]" caption="Iteration11" attribute="1" defaultMemberUniqueName="[Test Case].[Iteration11].[All]" allUniqueName="[Test Case].[Iteration11].[All]" dimensionUniqueName="[Test Case]" displayFolder="\" count="0" unbalanced="0" hidden="1"/>
    <cacheHierarchy uniqueName="[Test Case].[Iteration12]" caption="Iteration12" attribute="1" defaultMemberUniqueName="[Test Case].[Iteration12].[All]" allUniqueName="[Test Case].[Iteration12].[All]" dimensionUniqueName="[Test Case]" displayFolder="\" count="0" unbalanced="0" hidden="1"/>
    <cacheHierarchy uniqueName="[Test Case].[Iteration13]" caption="Iteration13" attribute="1" defaultMemberUniqueName="[Test Case].[Iteration13].[All]" allUniqueName="[Test Case].[Iteration13].[All]" dimensionUniqueName="[Test Case]" displayFolder="\" count="0" unbalanced="0" hidden="1"/>
    <cacheHierarchy uniqueName="[Test Case].[Iteration2]" caption="Iteration2" attribute="1" defaultMemberUniqueName="[Test Case].[Iteration2].[All]" allUniqueName="[Test Case].[Iteration2].[All]" dimensionUniqueName="[Test Case]" displayFolder="\" count="0" unbalanced="0" hidden="1"/>
    <cacheHierarchy uniqueName="[Test Case].[Iteration3]" caption="Iteration3" attribute="1" defaultMemberUniqueName="[Test Case].[Iteration3].[All]" allUniqueName="[Test Case].[Iteration3].[All]" dimensionUniqueName="[Test Case]" displayFolder="\" count="0" unbalanced="0" hidden="1"/>
    <cacheHierarchy uniqueName="[Test Case].[Iteration4]" caption="Iteration4" attribute="1" defaultMemberUniqueName="[Test Case].[Iteration4].[All]" allUniqueName="[Test Case].[Iteration4].[All]" dimensionUniqueName="[Test Case]" displayFolder="\" count="0" unbalanced="0" hidden="1"/>
    <cacheHierarchy uniqueName="[Test Case].[Iteration5]" caption="Iteration5" attribute="1" defaultMemberUniqueName="[Test Case].[Iteration5].[All]" allUniqueName="[Test Case].[Iteration5].[All]" dimensionUniqueName="[Test Case]" displayFolder="\" count="0" unbalanced="0" hidden="1"/>
    <cacheHierarchy uniqueName="[Test Case].[Iteration6]" caption="Iteration6" attribute="1" defaultMemberUniqueName="[Test Case].[Iteration6].[All]" allUniqueName="[Test Case].[Iteration6].[All]" dimensionUniqueName="[Test Case]" displayFolder="\" count="0" unbalanced="0" hidden="1"/>
    <cacheHierarchy uniqueName="[Test Case].[Iteration7]" caption="Iteration7" attribute="1" defaultMemberUniqueName="[Test Case].[Iteration7].[All]" allUniqueName="[Test Case].[Iteration7].[All]" dimensionUniqueName="[Test Case]" displayFolder="\" count="0" unbalanced="0" hidden="1"/>
    <cacheHierarchy uniqueName="[Test Case].[Iteration8]" caption="Iteration8" attribute="1" defaultMemberUniqueName="[Test Case].[Iteration8].[All]" allUniqueName="[Test Case].[Iteration8].[All]" dimensionUniqueName="[Test Case]" displayFolder="\" count="0" unbalanced="0" hidden="1"/>
    <cacheHierarchy uniqueName="[Test Case].[Iteration9]" caption="Iteration9" attribute="1" defaultMemberUniqueName="[Test Case].[Iteration9].[All]" allUniqueName="[Test Case].[Iteration9].[All]" dimensionUniqueName="[Test Case]" displayFolder="\" count="0" unbalanced="0" hidden="1"/>
    <cacheHierarchy uniqueName="[Test Case].[Microsoft_VSTS_Common_ActivatedDate__Month]" caption="Microsoft_VSTS_Common_ActivatedDate Month" attribute="1" defaultMemberUniqueName="[Test Case].[Microsoft_VSTS_Common_ActivatedDate__Month].[All]" allUniqueName="[Test Case].[Microsoft_VSTS_Common_ActivatedDate__Month].[All]" dimensionUniqueName="[Test Case]" displayFolder="" count="0" unbalanced="0" hidden="1"/>
    <cacheHierarchy uniqueName="[Test Case].[Microsoft_VSTS_Common_ActivatedDate__Week]" caption="Microsoft_VSTS_Common_ActivatedDate Week" attribute="1" defaultMemberUniqueName="[Test Case].[Microsoft_VSTS_Common_ActivatedDate__Week].[All]" allUniqueName="[Test Case].[Microsoft_VSTS_Common_ActivatedDate__Week].[All]" dimensionUniqueName="[Test Case]" displayFolder="" count="0" unbalanced="0" hidden="1"/>
    <cacheHierarchy uniqueName="[Test Case].[Microsoft_VSTS_Common_ActivatedDate__Year]" caption="Microsoft_VSTS_Common_ActivatedDate Year" attribute="1" defaultMemberUniqueName="[Test Case].[Microsoft_VSTS_Common_ActivatedDate__Year].[All]" allUniqueName="[Test Case].[Microsoft_VSTS_Common_ActivatedDate__Year].[All]" dimensionUniqueName="[Test Case]" displayFolder="" count="0" unbalanced="0" hidden="1"/>
    <cacheHierarchy uniqueName="[Test Case].[Microsoft_VSTS_Common_ClosedDate__Month]" caption="Microsoft_VSTS_Common_ClosedDate Month" attribute="1" defaultMemberUniqueName="[Test Case].[Microsoft_VSTS_Common_ClosedDate__Month].[All]" allUniqueName="[Test Case].[Microsoft_VSTS_Common_ClosedDate__Month].[All]" dimensionUniqueName="[Test Case]" displayFolder="" count="0" unbalanced="0" hidden="1"/>
    <cacheHierarchy uniqueName="[Test Case].[Microsoft_VSTS_Common_ClosedDate__Week]" caption="Microsoft_VSTS_Common_ClosedDate Week" attribute="1" defaultMemberUniqueName="[Test Case].[Microsoft_VSTS_Common_ClosedDate__Week].[All]" allUniqueName="[Test Case].[Microsoft_VSTS_Common_ClosedDate__Week].[All]" dimensionUniqueName="[Test Case]" displayFolder="" count="0" unbalanced="0" hidden="1"/>
    <cacheHierarchy uniqueName="[Test Case].[Microsoft_VSTS_Common_ClosedDate__Year]" caption="Microsoft_VSTS_Common_ClosedDate Year" attribute="1" defaultMemberUniqueName="[Test Case].[Microsoft_VSTS_Common_ClosedDate__Year].[All]" allUniqueName="[Test Case].[Microsoft_VSTS_Common_ClosedDate__Year].[All]" dimensionUniqueName="[Test Case]" displayFolder="" count="0" unbalanced="0" hidden="1"/>
    <cacheHierarchy uniqueName="[Test Case].[Microsoft_VSTS_Common_ResolvedDate__Month]" caption="Microsoft_VSTS_Common_ResolvedDate Month" attribute="1" defaultMemberUniqueName="[Test Case].[Microsoft_VSTS_Common_ResolvedDate__Month].[All]" allUniqueName="[Test Case].[Microsoft_VSTS_Common_ResolvedDate__Month].[All]" dimensionUniqueName="[Test Case]" displayFolder="" count="0" unbalanced="0" hidden="1"/>
    <cacheHierarchy uniqueName="[Test Case].[Microsoft_VSTS_Common_ResolvedDate__Week]" caption="Microsoft_VSTS_Common_ResolvedDate Week" attribute="1" defaultMemberUniqueName="[Test Case].[Microsoft_VSTS_Common_ResolvedDate__Week].[All]" allUniqueName="[Test Case].[Microsoft_VSTS_Common_ResolvedDate__Week].[All]" dimensionUniqueName="[Test Case]" displayFolder="" count="0" unbalanced="0" hidden="1"/>
    <cacheHierarchy uniqueName="[Test Case].[Microsoft_VSTS_Common_ResolvedDate__Year]" caption="Microsoft_VSTS_Common_ResolvedDate Year" attribute="1" defaultMemberUniqueName="[Test Case].[Microsoft_VSTS_Common_ResolvedDate__Year].[All]" allUniqueName="[Test Case].[Microsoft_VSTS_Common_ResolvedDate__Year].[All]" dimensionUniqueName="[Test Case]" displayFolder="" count="0" unbalanced="0" hidden="1"/>
    <cacheHierarchy uniqueName="[Test Case].[Microsoft_VSTS_Scheduling_DueDate__Month]" caption="Microsoft_VSTS_Scheduling_DueDate Month" attribute="1" defaultMemberUniqueName="[Test Case].[Microsoft_VSTS_Scheduling_DueDate__Month].[All]" allUniqueName="[Test Case].[Microsoft_VSTS_Scheduling_DueDate__Month].[All]" dimensionUniqueName="[Test Case]" displayFolder="" count="0" unbalanced="0" hidden="1"/>
    <cacheHierarchy uniqueName="[Test Case].[Microsoft_VSTS_Scheduling_DueDate__Week]" caption="Microsoft_VSTS_Scheduling_DueDate Week" attribute="1" defaultMemberUniqueName="[Test Case].[Microsoft_VSTS_Scheduling_DueDate__Week].[All]" allUniqueName="[Test Case].[Microsoft_VSTS_Scheduling_DueDate__Week].[All]" dimensionUniqueName="[Test Case]" displayFolder="" count="0" unbalanced="0" hidden="1"/>
    <cacheHierarchy uniqueName="[Test Case].[Microsoft_VSTS_Scheduling_DueDate__Year]" caption="Microsoft_VSTS_Scheduling_DueDate Year" attribute="1" defaultMemberUniqueName="[Test Case].[Microsoft_VSTS_Scheduling_DueDate__Year].[All]" allUniqueName="[Test Case].[Microsoft_VSTS_Scheduling_DueDate__Year].[All]" dimensionUniqueName="[Test Case]" displayFolder="" count="0" unbalanced="0" hidden="1"/>
    <cacheHierarchy uniqueName="[Test Case].[Microsoft_VSTS_Scheduling_FinishDate__Month]" caption="Microsoft_VSTS_Scheduling_FinishDate Month" attribute="1" defaultMemberUniqueName="[Test Case].[Microsoft_VSTS_Scheduling_FinishDate__Month].[All]" allUniqueName="[Test Case].[Microsoft_VSTS_Scheduling_FinishDate__Month].[All]" dimensionUniqueName="[Test Case]" displayFolder="" count="0" unbalanced="0" hidden="1"/>
    <cacheHierarchy uniqueName="[Test Case].[Microsoft_VSTS_Scheduling_FinishDate__Week]" caption="Microsoft_VSTS_Scheduling_FinishDate Week" attribute="1" defaultMemberUniqueName="[Test Case].[Microsoft_VSTS_Scheduling_FinishDate__Week].[All]" allUniqueName="[Test Case].[Microsoft_VSTS_Scheduling_FinishDate__Week].[All]" dimensionUniqueName="[Test Case]" displayFolder="" count="0" unbalanced="0" hidden="1"/>
    <cacheHierarchy uniqueName="[Test Case].[Microsoft_VSTS_Scheduling_FinishDate__Year]" caption="Microsoft_VSTS_Scheduling_FinishDate Year" attribute="1" defaultMemberUniqueName="[Test Case].[Microsoft_VSTS_Scheduling_FinishDate__Year].[All]" allUniqueName="[Test Case].[Microsoft_VSTS_Scheduling_FinishDate__Year].[All]" dimensionUniqueName="[Test Case]" displayFolder="" count="0" unbalanced="0" hidden="1"/>
    <cacheHierarchy uniqueName="[Test Case].[Microsoft_VSTS_Scheduling_StartDate__Month]" caption="Microsoft_VSTS_Scheduling_StartDate Month" attribute="1" defaultMemberUniqueName="[Test Case].[Microsoft_VSTS_Scheduling_StartDate__Month].[All]" allUniqueName="[Test Case].[Microsoft_VSTS_Scheduling_StartDate__Month].[All]" dimensionUniqueName="[Test Case]" displayFolder="" count="0" unbalanced="0" hidden="1"/>
    <cacheHierarchy uniqueName="[Test Case].[Microsoft_VSTS_Scheduling_StartDate__Week]" caption="Microsoft_VSTS_Scheduling_StartDate Week" attribute="1" defaultMemberUniqueName="[Test Case].[Microsoft_VSTS_Scheduling_StartDate__Week].[All]" allUniqueName="[Test Case].[Microsoft_VSTS_Scheduling_StartDate__Week].[All]" dimensionUniqueName="[Test Case]" displayFolder="" count="0" unbalanced="0" hidden="1"/>
    <cacheHierarchy uniqueName="[Test Case].[Microsoft_VSTS_Scheduling_StartDate__Year]" caption="Microsoft_VSTS_Scheduling_StartDate Year" attribute="1" defaultMemberUniqueName="[Test Case].[Microsoft_VSTS_Scheduling_StartDate__Year].[All]" allUniqueName="[Test Case].[Microsoft_VSTS_Scheduling_StartDate__Year].[All]" dimensionUniqueName="[Test Case]" displayFolder="" count="0" unbalanced="0" hidden="1"/>
    <cacheHierarchy uniqueName="[Test Case].[System_ChangedDate__Month]" caption="System_ChangedDate Month" attribute="1" defaultMemberUniqueName="[Test Case].[System_ChangedDate__Month].[All]" allUniqueName="[Test Case].[System_ChangedDate__Month].[All]" dimensionUniqueName="[Test Case]" displayFolder="" count="0" unbalanced="0" hidden="1"/>
    <cacheHierarchy uniqueName="[Test Case].[System_ChangedDate__Week]" caption="System_ChangedDate Week" attribute="1" defaultMemberUniqueName="[Test Case].[System_ChangedDate__Week].[All]" allUniqueName="[Test Case].[System_ChangedDate__Week].[All]" dimensionUniqueName="[Test Case]" displayFolder="" count="0" unbalanced="0" hidden="1"/>
    <cacheHierarchy uniqueName="[Test Case].[System_ChangedDate__Year]" caption="System_ChangedDate Year" attribute="1" defaultMemberUniqueName="[Test Case].[System_ChangedDate__Year].[All]" allUniqueName="[Test Case].[System_ChangedDate__Year].[All]" dimensionUniqueName="[Test Case]" displayFolder="" count="0" unbalanced="0" hidden="1"/>
    <cacheHierarchy uniqueName="[Test Case].[System_CreatedDate__Month]" caption="System_CreatedDate Month" attribute="1" defaultMemberUniqueName="[Test Case].[System_CreatedDate__Month].[All]" allUniqueName="[Test Case].[System_CreatedDate__Month].[All]" dimensionUniqueName="[Test Case]" displayFolder="" count="0" unbalanced="0" hidden="1"/>
    <cacheHierarchy uniqueName="[Test Case].[System_CreatedDate__Week]" caption="System_CreatedDate Week" attribute="1" defaultMemberUniqueName="[Test Case].[System_CreatedDate__Week].[All]" allUniqueName="[Test Case].[System_CreatedDate__Week].[All]" dimensionUniqueName="[Test Case]" displayFolder="" count="0" unbalanced="0" hidden="1"/>
    <cacheHierarchy uniqueName="[Test Case].[System_CreatedDate__Year]" caption="System_CreatedDate Year" attribute="1" defaultMemberUniqueName="[Test Case].[System_CreatedDate__Year].[All]" allUniqueName="[Test Case].[System_CreatedDate__Year].[All]" dimensionUniqueName="[Test Case]" displayFolder="" count="0" unbalanced="0" hidden="1"/>
    <cacheHierarchy uniqueName="[Test Case].[TeamProjectSK]" caption="TeamProjectSK" attribute="1" defaultMemberUniqueName="[Test Case].[TeamProjectSK].[All]" allUniqueName="[Test Case].[TeamProjectSK].[All]" dimensionUniqueName="[Test Case]" displayFolder="\" count="0" unbalanced="0" hidden="1"/>
    <cacheHierarchy uniqueName="[Test Case].[Test Case]" caption="Test Case" attribute="1" keyAttribute="1" defaultMemberUniqueName="[Test Case].[Test Case].[All]" allUniqueName="[Test Case].[Test Case].[All]" dimensionUniqueName="[Test Case]" displayFolder="" count="0" unbalanced="0" hidden="1"/>
    <cacheHierarchy uniqueName="[Test Configuration].[Configuration]" caption="Configuration" attribute="1" keyAttribute="1" defaultMemberUniqueName="[Test Configuration].[Configuration].[All]" allUniqueName="[Test Configuration].[Configuration].[All]" dimensionUniqueName="[Test Configuration]" displayFolder="" count="0" unbalanced="0" hidden="1"/>
    <cacheHierarchy uniqueName="[Test Plan].[Area Team Project Collection]" caption="Team Project Collection" attribute="1" defaultMemberUniqueName="[Test Plan].[Area Team Project Collection].[All]" allUniqueName="[Test Plan].[Area Team Project Collection].[All]" dimensionUniqueName="[Test Plan]" displayFolder="\" count="0" unbalanced="0" hidden="1"/>
    <cacheHierarchy uniqueName="[Test Plan].[Area0]" caption="Area0" attribute="1" defaultMemberUniqueName="[Test Plan].[Area0].[All]" allUniqueName="[Test Plan].[Area0].[All]" dimensionUniqueName="[Test Plan]" displayFolder="\" count="0" unbalanced="0" hidden="1"/>
    <cacheHierarchy uniqueName="[Test Plan].[Area1]" caption="Area1" attribute="1" defaultMemberUniqueName="[Test Plan].[Area1].[All]" allUniqueName="[Test Plan].[Area1].[All]" dimensionUniqueName="[Test Plan]" displayFolder="\" count="0" unbalanced="0" hidden="1"/>
    <cacheHierarchy uniqueName="[Test Plan].[Area10]" caption="Area10" attribute="1" defaultMemberUniqueName="[Test Plan].[Area10].[All]" allUniqueName="[Test Plan].[Area10].[All]" dimensionUniqueName="[Test Plan]" displayFolder="\" count="0" unbalanced="0" hidden="1"/>
    <cacheHierarchy uniqueName="[Test Plan].[Area11]" caption="Area11" attribute="1" defaultMemberUniqueName="[Test Plan].[Area11].[All]" allUniqueName="[Test Plan].[Area11].[All]" dimensionUniqueName="[Test Plan]" displayFolder="\" count="0" unbalanced="0" hidden="1"/>
    <cacheHierarchy uniqueName="[Test Plan].[Area12]" caption="Area12" attribute="1" defaultMemberUniqueName="[Test Plan].[Area12].[All]" allUniqueName="[Test Plan].[Area12].[All]" dimensionUniqueName="[Test Plan]" displayFolder="\" count="0" unbalanced="0" hidden="1"/>
    <cacheHierarchy uniqueName="[Test Plan].[Area13]" caption="Area13" attribute="1" defaultMemberUniqueName="[Test Plan].[Area13].[All]" allUniqueName="[Test Plan].[Area13].[All]" dimensionUniqueName="[Test Plan]" displayFolder="\" count="0" unbalanced="0" hidden="1"/>
    <cacheHierarchy uniqueName="[Test Plan].[Area2]" caption="Area2" attribute="1" defaultMemberUniqueName="[Test Plan].[Area2].[All]" allUniqueName="[Test Plan].[Area2].[All]" dimensionUniqueName="[Test Plan]" displayFolder="\" count="0" unbalanced="0" hidden="1"/>
    <cacheHierarchy uniqueName="[Test Plan].[Area3]" caption="Area3" attribute="1" defaultMemberUniqueName="[Test Plan].[Area3].[All]" allUniqueName="[Test Plan].[Area3].[All]" dimensionUniqueName="[Test Plan]" displayFolder="\" count="0" unbalanced="0" hidden="1"/>
    <cacheHierarchy uniqueName="[Test Plan].[Area4]" caption="Area4" attribute="1" defaultMemberUniqueName="[Test Plan].[Area4].[All]" allUniqueName="[Test Plan].[Area4].[All]" dimensionUniqueName="[Test Plan]" displayFolder="\" count="0" unbalanced="0" hidden="1"/>
    <cacheHierarchy uniqueName="[Test Plan].[Area5]" caption="Area5" attribute="1" defaultMemberUniqueName="[Test Plan].[Area5].[All]" allUniqueName="[Test Plan].[Area5].[All]" dimensionUniqueName="[Test Plan]" displayFolder="\" count="0" unbalanced="0" hidden="1"/>
    <cacheHierarchy uniqueName="[Test Plan].[Area6]" caption="Area6" attribute="1" defaultMemberUniqueName="[Test Plan].[Area6].[All]" allUniqueName="[Test Plan].[Area6].[All]" dimensionUniqueName="[Test Plan]" displayFolder="\" count="0" unbalanced="0" hidden="1"/>
    <cacheHierarchy uniqueName="[Test Plan].[Area7]" caption="Area7" attribute="1" defaultMemberUniqueName="[Test Plan].[Area7].[All]" allUniqueName="[Test Plan].[Area7].[All]" dimensionUniqueName="[Test Plan]" displayFolder="\" count="0" unbalanced="0" hidden="1"/>
    <cacheHierarchy uniqueName="[Test Plan].[Area8]" caption="Area8" attribute="1" defaultMemberUniqueName="[Test Plan].[Area8].[All]" allUniqueName="[Test Plan].[Area8].[All]" dimensionUniqueName="[Test Plan]" displayFolder="\" count="0" unbalanced="0" hidden="1"/>
    <cacheHierarchy uniqueName="[Test Plan].[Area9]" caption="Area9" attribute="1" defaultMemberUniqueName="[Test Plan].[Area9].[All]" allUniqueName="[Test Plan].[Area9].[All]" dimensionUniqueName="[Test Plan]" displayFolder="\" count="0" unbalanced="0" hidden="1"/>
    <cacheHierarchy uniqueName="[Test Plan].[EndDate__Month]" caption="End Date Month" attribute="1" defaultMemberUniqueName="[Test Plan].[EndDate__Month].[All]" allUniqueName="[Test Plan].[EndDate__Month].[All]" dimensionUniqueName="[Test Plan]" displayFolder="" count="0" unbalanced="0" hidden="1"/>
    <cacheHierarchy uniqueName="[Test Plan].[EndDate__Week]" caption="End Date Week" attribute="1" defaultMemberUniqueName="[Test Plan].[EndDate__Week].[All]" allUniqueName="[Test Plan].[EndDate__Week].[All]" dimensionUniqueName="[Test Plan]" displayFolder="" count="0" unbalanced="0" hidden="1"/>
    <cacheHierarchy uniqueName="[Test Plan].[EndDate__Year]" caption="EndDate__Year" attribute="1" defaultMemberUniqueName="[Test Plan].[EndDate__Year].[All]" allUniqueName="[Test Plan].[EndDate__Year].[All]" dimensionUniqueName="[Test Plan]" displayFolder="" count="0" unbalanced="0" hidden="1"/>
    <cacheHierarchy uniqueName="[Test Plan].[Iteration Team Project Collection]" caption="Team Project Collection" attribute="1" defaultMemberUniqueName="[Test Plan].[Iteration Team Project Collection].[All]" allUniqueName="[Test Plan].[Iteration Team Project Collection].[All]" dimensionUniqueName="[Test Plan]" displayFolder="\" count="0" unbalanced="0" hidden="1"/>
    <cacheHierarchy uniqueName="[Test Plan].[Iteration0]" caption="Iteration0" attribute="1" defaultMemberUniqueName="[Test Plan].[Iteration0].[All]" allUniqueName="[Test Plan].[Iteration0].[All]" dimensionUniqueName="[Test Plan]" displayFolder="\" count="0" unbalanced="0" hidden="1"/>
    <cacheHierarchy uniqueName="[Test Plan].[Iteration1]" caption="Iteration1" attribute="1" defaultMemberUniqueName="[Test Plan].[Iteration1].[All]" allUniqueName="[Test Plan].[Iteration1].[All]" dimensionUniqueName="[Test Plan]" displayFolder="\" count="0" unbalanced="0" hidden="1"/>
    <cacheHierarchy uniqueName="[Test Plan].[Iteration10]" caption="Iteration10" attribute="1" defaultMemberUniqueName="[Test Plan].[Iteration10].[All]" allUniqueName="[Test Plan].[Iteration10].[All]" dimensionUniqueName="[Test Plan]" displayFolder="\" count="0" unbalanced="0" hidden="1"/>
    <cacheHierarchy uniqueName="[Test Plan].[Iteration11]" caption="Iteration11" attribute="1" defaultMemberUniqueName="[Test Plan].[Iteration11].[All]" allUniqueName="[Test Plan].[Iteration11].[All]" dimensionUniqueName="[Test Plan]" displayFolder="\" count="0" unbalanced="0" hidden="1"/>
    <cacheHierarchy uniqueName="[Test Plan].[Iteration12]" caption="Iteration12" attribute="1" defaultMemberUniqueName="[Test Plan].[Iteration12].[All]" allUniqueName="[Test Plan].[Iteration12].[All]" dimensionUniqueName="[Test Plan]" displayFolder="\" count="0" unbalanced="0" hidden="1"/>
    <cacheHierarchy uniqueName="[Test Plan].[Iteration13]" caption="Iteration13" attribute="1" defaultMemberUniqueName="[Test Plan].[Iteration13].[All]" allUniqueName="[Test Plan].[Iteration13].[All]" dimensionUniqueName="[Test Plan]" displayFolder="\" count="0" unbalanced="0" hidden="1"/>
    <cacheHierarchy uniqueName="[Test Plan].[Iteration2]" caption="Iteration2" attribute="1" defaultMemberUniqueName="[Test Plan].[Iteration2].[All]" allUniqueName="[Test Plan].[Iteration2].[All]" dimensionUniqueName="[Test Plan]" displayFolder="\" count="0" unbalanced="0" hidden="1"/>
    <cacheHierarchy uniqueName="[Test Plan].[Iteration3]" caption="Iteration3" attribute="1" defaultMemberUniqueName="[Test Plan].[Iteration3].[All]" allUniqueName="[Test Plan].[Iteration3].[All]" dimensionUniqueName="[Test Plan]" displayFolder="\" count="0" unbalanced="0" hidden="1"/>
    <cacheHierarchy uniqueName="[Test Plan].[Iteration4]" caption="Iteration4" attribute="1" defaultMemberUniqueName="[Test Plan].[Iteration4].[All]" allUniqueName="[Test Plan].[Iteration4].[All]" dimensionUniqueName="[Test Plan]" displayFolder="\" count="0" unbalanced="0" hidden="1"/>
    <cacheHierarchy uniqueName="[Test Plan].[Iteration5]" caption="Iteration5" attribute="1" defaultMemberUniqueName="[Test Plan].[Iteration5].[All]" allUniqueName="[Test Plan].[Iteration5].[All]" dimensionUniqueName="[Test Plan]" displayFolder="\" count="0" unbalanced="0" hidden="1"/>
    <cacheHierarchy uniqueName="[Test Plan].[Iteration6]" caption="Iteration6" attribute="1" defaultMemberUniqueName="[Test Plan].[Iteration6].[All]" allUniqueName="[Test Plan].[Iteration6].[All]" dimensionUniqueName="[Test Plan]" displayFolder="\" count="0" unbalanced="0" hidden="1"/>
    <cacheHierarchy uniqueName="[Test Plan].[Iteration7]" caption="Iteration7" attribute="1" defaultMemberUniqueName="[Test Plan].[Iteration7].[All]" allUniqueName="[Test Plan].[Iteration7].[All]" dimensionUniqueName="[Test Plan]" displayFolder="\" count="0" unbalanced="0" hidden="1"/>
    <cacheHierarchy uniqueName="[Test Plan].[Iteration8]" caption="Iteration8" attribute="1" defaultMemberUniqueName="[Test Plan].[Iteration8].[All]" allUniqueName="[Test Plan].[Iteration8].[All]" dimensionUniqueName="[Test Plan]" displayFolder="\" count="0" unbalanced="0" hidden="1"/>
    <cacheHierarchy uniqueName="[Test Plan].[Iteration9]" caption="Iteration9" attribute="1" defaultMemberUniqueName="[Test Plan].[Iteration9].[All]" allUniqueName="[Test Plan].[Iteration9].[All]" dimensionUniqueName="[Test Plan]" displayFolder="\" count="0" unbalanced="0" hidden="1"/>
    <cacheHierarchy uniqueName="[Test Plan].[StartDate__Month]" caption="Start Date Month" attribute="1" defaultMemberUniqueName="[Test Plan].[StartDate__Month].[All]" allUniqueName="[Test Plan].[StartDate__Month].[All]" dimensionUniqueName="[Test Plan]" displayFolder="" count="0" unbalanced="0" hidden="1"/>
    <cacheHierarchy uniqueName="[Test Plan].[StartDate__Week]" caption="Start Date Week" attribute="1" defaultMemberUniqueName="[Test Plan].[StartDate__Week].[All]" allUniqueName="[Test Plan].[StartDate__Week].[All]" dimensionUniqueName="[Test Plan]" displayFolder="" count="0" unbalanced="0" hidden="1"/>
    <cacheHierarchy uniqueName="[Test Plan].[StartDate__Year]" caption="StartDate__Year" attribute="1" defaultMemberUniqueName="[Test Plan].[StartDate__Year].[All]" allUniqueName="[Test Plan].[StartDate__Year].[All]" dimensionUniqueName="[Test Plan]" displayFolder="" count="0" unbalanced="0" hidden="1"/>
    <cacheHierarchy uniqueName="[Test Plan].[Test Plan]" caption="Test Plan" attribute="1" keyAttribute="1" defaultMemberUniqueName="[Test Plan].[Test Plan].[All]" allUniqueName="[Test Plan].[Test Plan].[All]" dimensionUniqueName="[Test Plan]" displayFolder="" count="0" unbalanced="0" hidden="1"/>
    <cacheHierarchy uniqueName="[Test Result].[Area Team Project Collection]" caption="Team Project Collection" attribute="1" defaultMemberUniqueName="[Test Result].[Area Team Project Collection].[All]" allUniqueName="[Test Result].[Area Team Project Collection].[All]" dimensionUniqueName="[Test Result]" displayFolder="\" count="0" unbalanced="0" hidden="1"/>
    <cacheHierarchy uniqueName="[Test Result].[Area0]" caption="Area0" attribute="1" defaultMemberUniqueName="[Test Result].[Area0].[All]" allUniqueName="[Test Result].[Area0].[All]" dimensionUniqueName="[Test Result]" displayFolder="\" count="0" unbalanced="0" hidden="1"/>
    <cacheHierarchy uniqueName="[Test Result].[Area1]" caption="Area1" attribute="1" defaultMemberUniqueName="[Test Result].[Area1].[All]" allUniqueName="[Test Result].[Area1].[All]" dimensionUniqueName="[Test Result]" displayFolder="\" count="0" unbalanced="0" hidden="1"/>
    <cacheHierarchy uniqueName="[Test Result].[Area10]" caption="Area10" attribute="1" defaultMemberUniqueName="[Test Result].[Area10].[All]" allUniqueName="[Test Result].[Area10].[All]" dimensionUniqueName="[Test Result]" displayFolder="\" count="0" unbalanced="0" hidden="1"/>
    <cacheHierarchy uniqueName="[Test Result].[Area11]" caption="Area11" attribute="1" defaultMemberUniqueName="[Test Result].[Area11].[All]" allUniqueName="[Test Result].[Area11].[All]" dimensionUniqueName="[Test Result]" displayFolder="\" count="0" unbalanced="0" hidden="1"/>
    <cacheHierarchy uniqueName="[Test Result].[Area12]" caption="Area12" attribute="1" defaultMemberUniqueName="[Test Result].[Area12].[All]" allUniqueName="[Test Result].[Area12].[All]" dimensionUniqueName="[Test Result]" displayFolder="\" count="0" unbalanced="0" hidden="1"/>
    <cacheHierarchy uniqueName="[Test Result].[Area13]" caption="Area13" attribute="1" defaultMemberUniqueName="[Test Result].[Area13].[All]" allUniqueName="[Test Result].[Area13].[All]" dimensionUniqueName="[Test Result]" displayFolder="\" count="0" unbalanced="0" hidden="1"/>
    <cacheHierarchy uniqueName="[Test Result].[Area2]" caption="Area2" attribute="1" defaultMemberUniqueName="[Test Result].[Area2].[All]" allUniqueName="[Test Result].[Area2].[All]" dimensionUniqueName="[Test Result]" displayFolder="\" count="0" unbalanced="0" hidden="1"/>
    <cacheHierarchy uniqueName="[Test Result].[Area3]" caption="Area3" attribute="1" defaultMemberUniqueName="[Test Result].[Area3].[All]" allUniqueName="[Test Result].[Area3].[All]" dimensionUniqueName="[Test Result]" displayFolder="\" count="0" unbalanced="0" hidden="1"/>
    <cacheHierarchy uniqueName="[Test Result].[Area4]" caption="Area4" attribute="1" defaultMemberUniqueName="[Test Result].[Area4].[All]" allUniqueName="[Test Result].[Area4].[All]" dimensionUniqueName="[Test Result]" displayFolder="\" count="0" unbalanced="0" hidden="1"/>
    <cacheHierarchy uniqueName="[Test Result].[Area5]" caption="Area5" attribute="1" defaultMemberUniqueName="[Test Result].[Area5].[All]" allUniqueName="[Test Result].[Area5].[All]" dimensionUniqueName="[Test Result]" displayFolder="\" count="0" unbalanced="0" hidden="1"/>
    <cacheHierarchy uniqueName="[Test Result].[Area6]" caption="Area6" attribute="1" defaultMemberUniqueName="[Test Result].[Area6].[All]" allUniqueName="[Test Result].[Area6].[All]" dimensionUniqueName="[Test Result]" displayFolder="\" count="0" unbalanced="0" hidden="1"/>
    <cacheHierarchy uniqueName="[Test Result].[Area7]" caption="Area7" attribute="1" defaultMemberUniqueName="[Test Result].[Area7].[All]" allUniqueName="[Test Result].[Area7].[All]" dimensionUniqueName="[Test Result]" displayFolder="\" count="0" unbalanced="0" hidden="1"/>
    <cacheHierarchy uniqueName="[Test Result].[Area8]" caption="Area8" attribute="1" defaultMemberUniqueName="[Test Result].[Area8].[All]" allUniqueName="[Test Result].[Area8].[All]" dimensionUniqueName="[Test Result]" displayFolder="\" count="0" unbalanced="0" hidden="1"/>
    <cacheHierarchy uniqueName="[Test Result].[Area9]" caption="Area9" attribute="1" defaultMemberUniqueName="[Test Result].[Area9].[All]" allUniqueName="[Test Result].[Area9].[All]" dimensionUniqueName="[Test Result]" displayFolder="\" count="0" unbalanced="0" hidden="1"/>
    <cacheHierarchy uniqueName="[Test Result].[Iteration Team Project Collection]" caption="Team Project Collection" attribute="1" defaultMemberUniqueName="[Test Result].[Iteration Team Project Collection].[All]" allUniqueName="[Test Result].[Iteration Team Project Collection].[All]" dimensionUniqueName="[Test Result]" displayFolder="\" count="0" unbalanced="0" hidden="1"/>
    <cacheHierarchy uniqueName="[Test Result].[Iteration0]" caption="Iteration0" attribute="1" defaultMemberUniqueName="[Test Result].[Iteration0].[All]" allUniqueName="[Test Result].[Iteration0].[All]" dimensionUniqueName="[Test Result]" displayFolder="\" count="0" unbalanced="0" hidden="1"/>
    <cacheHierarchy uniqueName="[Test Result].[Iteration1]" caption="Iteration1" attribute="1" defaultMemberUniqueName="[Test Result].[Iteration1].[All]" allUniqueName="[Test Result].[Iteration1].[All]" dimensionUniqueName="[Test Result]" displayFolder="\" count="0" unbalanced="0" hidden="1"/>
    <cacheHierarchy uniqueName="[Test Result].[Iteration10]" caption="Iteration10" attribute="1" defaultMemberUniqueName="[Test Result].[Iteration10].[All]" allUniqueName="[Test Result].[Iteration10].[All]" dimensionUniqueName="[Test Result]" displayFolder="\" count="0" unbalanced="0" hidden="1"/>
    <cacheHierarchy uniqueName="[Test Result].[Iteration11]" caption="Iteration11" attribute="1" defaultMemberUniqueName="[Test Result].[Iteration11].[All]" allUniqueName="[Test Result].[Iteration11].[All]" dimensionUniqueName="[Test Result]" displayFolder="\" count="0" unbalanced="0" hidden="1"/>
    <cacheHierarchy uniqueName="[Test Result].[Iteration12]" caption="Iteration12" attribute="1" defaultMemberUniqueName="[Test Result].[Iteration12].[All]" allUniqueName="[Test Result].[Iteration12].[All]" dimensionUniqueName="[Test Result]" displayFolder="\" count="0" unbalanced="0" hidden="1"/>
    <cacheHierarchy uniqueName="[Test Result].[Iteration13]" caption="Iteration13" attribute="1" defaultMemberUniqueName="[Test Result].[Iteration13].[All]" allUniqueName="[Test Result].[Iteration13].[All]" dimensionUniqueName="[Test Result]" displayFolder="\" count="0" unbalanced="0" hidden="1"/>
    <cacheHierarchy uniqueName="[Test Result].[Iteration2]" caption="Iteration2" attribute="1" defaultMemberUniqueName="[Test Result].[Iteration2].[All]" allUniqueName="[Test Result].[Iteration2].[All]" dimensionUniqueName="[Test Result]" displayFolder="\" count="0" unbalanced="0" hidden="1"/>
    <cacheHierarchy uniqueName="[Test Result].[Iteration3]" caption="Iteration3" attribute="1" defaultMemberUniqueName="[Test Result].[Iteration3].[All]" allUniqueName="[Test Result].[Iteration3].[All]" dimensionUniqueName="[Test Result]" displayFolder="\" count="0" unbalanced="0" hidden="1"/>
    <cacheHierarchy uniqueName="[Test Result].[Iteration4]" caption="Iteration4" attribute="1" defaultMemberUniqueName="[Test Result].[Iteration4].[All]" allUniqueName="[Test Result].[Iteration4].[All]" dimensionUniqueName="[Test Result]" displayFolder="\" count="0" unbalanced="0" hidden="1"/>
    <cacheHierarchy uniqueName="[Test Result].[Iteration5]" caption="Iteration5" attribute="1" defaultMemberUniqueName="[Test Result].[Iteration5].[All]" allUniqueName="[Test Result].[Iteration5].[All]" dimensionUniqueName="[Test Result]" displayFolder="\" count="0" unbalanced="0" hidden="1"/>
    <cacheHierarchy uniqueName="[Test Result].[Iteration6]" caption="Iteration6" attribute="1" defaultMemberUniqueName="[Test Result].[Iteration6].[All]" allUniqueName="[Test Result].[Iteration6].[All]" dimensionUniqueName="[Test Result]" displayFolder="\" count="0" unbalanced="0" hidden="1"/>
    <cacheHierarchy uniqueName="[Test Result].[Iteration7]" caption="Iteration7" attribute="1" defaultMemberUniqueName="[Test Result].[Iteration7].[All]" allUniqueName="[Test Result].[Iteration7].[All]" dimensionUniqueName="[Test Result]" displayFolder="\" count="0" unbalanced="0" hidden="1"/>
    <cacheHierarchy uniqueName="[Test Result].[Iteration8]" caption="Iteration8" attribute="1" defaultMemberUniqueName="[Test Result].[Iteration8].[All]" allUniqueName="[Test Result].[Iteration8].[All]" dimensionUniqueName="[Test Result]" displayFolder="\" count="0" unbalanced="0" hidden="1"/>
    <cacheHierarchy uniqueName="[Test Result].[Iteration9]" caption="Iteration9" attribute="1" defaultMemberUniqueName="[Test Result].[Iteration9].[All]" allUniqueName="[Test Result].[Iteration9].[All]" dimensionUniqueName="[Test Result]" displayFolder="\" count="0" unbalanced="0" hidden="1"/>
    <cacheHierarchy uniqueName="[Test Result].[Test Result]" caption="Test Result" attribute="1" keyAttribute="1" defaultMemberUniqueName="[Test Result].[Test Result].[All]" allUniqueName="[Test Result].[Test Result].[All]" dimensionUniqueName="[Test Result]" displayFolder="" count="0" unbalanced="0" hidden="1"/>
    <cacheHierarchy uniqueName="[Test Run].[Complete Date]" caption="Complete Date" attribute="1" defaultMemberUniqueName="[Test Run].[Complete Date].[All]" allUniqueName="[Test Run].[Complete Date].[All]" dimensionUniqueName="[Test Run]" displayFolder="" count="0" unbalanced="0" hidden="1"/>
    <cacheHierarchy uniqueName="[Test Run].[CompleteDate__Month]" caption="Complete Date Month" attribute="1" defaultMemberUniqueName="[Test Run].[CompleteDate__Month].[All]" allUniqueName="[Test Run].[CompleteDate__Month].[All]" dimensionUniqueName="[Test Run]" displayFolder="" count="0" unbalanced="0" hidden="1"/>
    <cacheHierarchy uniqueName="[Test Run].[CompleteDate__Week]" caption="Complete Date Week" attribute="1" defaultMemberUniqueName="[Test Run].[CompleteDate__Week].[All]" allUniqueName="[Test Run].[CompleteDate__Week].[All]" dimensionUniqueName="[Test Run]" displayFolder="" count="0" unbalanced="0" hidden="1"/>
    <cacheHierarchy uniqueName="[Test Run].[CompleteDate__Year]" caption="CompleteDate__Year" attribute="1" defaultMemberUniqueName="[Test Run].[CompleteDate__Year].[All]" allUniqueName="[Test Run].[CompleteDate__Year].[All]" dimensionUniqueName="[Test Run]" displayFolder="" count="0" unbalanced="0" hidden="1"/>
    <cacheHierarchy uniqueName="[Test Run].[Creation Date]" caption="Creation Date" attribute="1" defaultMemberUniqueName="[Test Run].[Creation Date].[All]" allUniqueName="[Test Run].[Creation Date].[All]" dimensionUniqueName="[Test Run]" displayFolder="" count="0" unbalanced="0" hidden="1"/>
    <cacheHierarchy uniqueName="[Test Run].[CreationDate__Month]" caption="Creation Date Month" attribute="1" defaultMemberUniqueName="[Test Run].[CreationDate__Month].[All]" allUniqueName="[Test Run].[CreationDate__Month].[All]" dimensionUniqueName="[Test Run]" displayFolder="" count="0" unbalanced="0" hidden="1"/>
    <cacheHierarchy uniqueName="[Test Run].[CreationDate__Week]" caption="Creation Date Week" attribute="1" defaultMemberUniqueName="[Test Run].[CreationDate__Week].[All]" allUniqueName="[Test Run].[CreationDate__Week].[All]" dimensionUniqueName="[Test Run]" displayFolder="" count="0" unbalanced="0" hidden="1"/>
    <cacheHierarchy uniqueName="[Test Run].[CreationDate__Year]" caption="CreationDate__Year" attribute="1" defaultMemberUniqueName="[Test Run].[CreationDate__Year].[All]" allUniqueName="[Test Run].[CreationDate__Year].[All]" dimensionUniqueName="[Test Run]" displayFolder="" count="0" unbalanced="0" hidden="1"/>
    <cacheHierarchy uniqueName="[Test Run].[Start Date]" caption="Start Date" attribute="1" defaultMemberUniqueName="[Test Run].[Start Date].[All]" allUniqueName="[Test Run].[Start Date].[All]" dimensionUniqueName="[Test Run]" displayFolder="" count="0" unbalanced="0" hidden="1"/>
    <cacheHierarchy uniqueName="[Test Run].[StartDate__Month]" caption="Start Date Month" attribute="1" defaultMemberUniqueName="[Test Run].[StartDate__Month].[All]" allUniqueName="[Test Run].[StartDate__Month].[All]" dimensionUniqueName="[Test Run]" displayFolder="" count="0" unbalanced="0" hidden="1"/>
    <cacheHierarchy uniqueName="[Test Run].[StartDate__Week]" caption="Start Date Week" attribute="1" defaultMemberUniqueName="[Test Run].[StartDate__Week].[All]" allUniqueName="[Test Run].[StartDate__Week].[All]" dimensionUniqueName="[Test Run]" displayFolder="" count="0" unbalanced="0" hidden="1"/>
    <cacheHierarchy uniqueName="[Test Run].[StartDate__Year]" caption="StartDate__Year" attribute="1" defaultMemberUniqueName="[Test Run].[StartDate__Year].[All]" allUniqueName="[Test Run].[StartDate__Year].[All]" dimensionUniqueName="[Test Run]" displayFolder="" count="0" unbalanced="0" hidden="1"/>
    <cacheHierarchy uniqueName="[Test Run].[Test Run]" caption="Test Run" attribute="1" keyAttribute="1" defaultMemberUniqueName="[Test Run].[Test Run].[All]" allUniqueName="[Test Run].[Test Run].[All]" dimensionUniqueName="[Test Run]" displayFolder="" count="0" unbalanced="0" hidden="1"/>
    <cacheHierarchy uniqueName="[Test Suite].[Suite0]" caption="Suite0" attribute="1" defaultMemberUniqueName="[Test Suite].[Suite0].[All]" allUniqueName="[Test Suite].[Suite0].[All]" dimensionUniqueName="[Test Suite]" displayFolder="" count="0" unbalanced="0" hidden="1"/>
    <cacheHierarchy uniqueName="[Test Suite].[Suite1]" caption="Suite1" attribute="1" defaultMemberUniqueName="[Test Suite].[Suite1].[All]" allUniqueName="[Test Suite].[Suite1].[All]" dimensionUniqueName="[Test Suite]" displayFolder="" count="0" unbalanced="0" hidden="1"/>
    <cacheHierarchy uniqueName="[Test Suite].[Suite10]" caption="Suite10" attribute="1" defaultMemberUniqueName="[Test Suite].[Suite10].[All]" allUniqueName="[Test Suite].[Suite10].[All]" dimensionUniqueName="[Test Suite]" displayFolder="" count="0" unbalanced="0" hidden="1"/>
    <cacheHierarchy uniqueName="[Test Suite].[Suite11]" caption="Suite11" attribute="1" defaultMemberUniqueName="[Test Suite].[Suite11].[All]" allUniqueName="[Test Suite].[Suite11].[All]" dimensionUniqueName="[Test Suite]" displayFolder="" count="0" unbalanced="0" hidden="1"/>
    <cacheHierarchy uniqueName="[Test Suite].[Suite12]" caption="Suite12" attribute="1" defaultMemberUniqueName="[Test Suite].[Suite12].[All]" allUniqueName="[Test Suite].[Suite12].[All]" dimensionUniqueName="[Test Suite]" displayFolder="" count="0" unbalanced="0" hidden="1"/>
    <cacheHierarchy uniqueName="[Test Suite].[Suite13]" caption="Suite13" attribute="1" defaultMemberUniqueName="[Test Suite].[Suite13].[All]" allUniqueName="[Test Suite].[Suite13].[All]" dimensionUniqueName="[Test Suite]" displayFolder="" count="0" unbalanced="0" hidden="1"/>
    <cacheHierarchy uniqueName="[Test Suite].[Suite2]" caption="Suite2" attribute="1" defaultMemberUniqueName="[Test Suite].[Suite2].[All]" allUniqueName="[Test Suite].[Suite2].[All]" dimensionUniqueName="[Test Suite]" displayFolder="" count="0" unbalanced="0" hidden="1"/>
    <cacheHierarchy uniqueName="[Test Suite].[Suite3]" caption="Suite3" attribute="1" defaultMemberUniqueName="[Test Suite].[Suite3].[All]" allUniqueName="[Test Suite].[Suite3].[All]" dimensionUniqueName="[Test Suite]" displayFolder="" count="0" unbalanced="0" hidden="1"/>
    <cacheHierarchy uniqueName="[Test Suite].[Suite4]" caption="Suite4" attribute="1" defaultMemberUniqueName="[Test Suite].[Suite4].[All]" allUniqueName="[Test Suite].[Suite4].[All]" dimensionUniqueName="[Test Suite]" displayFolder="" count="0" unbalanced="0" hidden="1"/>
    <cacheHierarchy uniqueName="[Test Suite].[Suite5]" caption="Suite5" attribute="1" defaultMemberUniqueName="[Test Suite].[Suite5].[All]" allUniqueName="[Test Suite].[Suite5].[All]" dimensionUniqueName="[Test Suite]" displayFolder="" count="0" unbalanced="0" hidden="1"/>
    <cacheHierarchy uniqueName="[Test Suite].[Suite6]" caption="Suite6" attribute="1" defaultMemberUniqueName="[Test Suite].[Suite6].[All]" allUniqueName="[Test Suite].[Suite6].[All]" dimensionUniqueName="[Test Suite]" displayFolder="" count="0" unbalanced="0" hidden="1"/>
    <cacheHierarchy uniqueName="[Test Suite].[Suite7]" caption="Suite7" attribute="1" defaultMemberUniqueName="[Test Suite].[Suite7].[All]" allUniqueName="[Test Suite].[Suite7].[All]" dimensionUniqueName="[Test Suite]" displayFolder="" count="0" unbalanced="0" hidden="1"/>
    <cacheHierarchy uniqueName="[Test Suite].[Suite8]" caption="Suite8" attribute="1" defaultMemberUniqueName="[Test Suite].[Suite8].[All]" allUniqueName="[Test Suite].[Suite8].[All]" dimensionUniqueName="[Test Suite]" displayFolder="" count="0" unbalanced="0" hidden="1"/>
    <cacheHierarchy uniqueName="[Test Suite].[Suite9]" caption="Suite9" attribute="1" defaultMemberUniqueName="[Test Suite].[Suite9].[All]" allUniqueName="[Test Suite].[Suite9].[All]" dimensionUniqueName="[Test Suite]" displayFolder="" count="0" unbalanced="0" hidden="1"/>
    <cacheHierarchy uniqueName="[Test Suite].[Team Project]" caption="Team Project" attribute="1" defaultMemberUniqueName="[Test Suite].[Team Project].[All]" allUniqueName="[Test Suite].[Team Project].[All]" dimensionUniqueName="[Test Suite]" displayFolder="" count="0" unbalanced="0" hidden="1"/>
    <cacheHierarchy uniqueName="[Test Suite].[Team Project Collection]" caption="Team Project Collection" attribute="1" defaultMemberUniqueName="[Test Suite].[Team Project Collection].[All]" allUniqueName="[Test Suite].[Team Project Collection].[All]" dimensionUniqueName="[Test Suite]" displayFolder="" count="0" unbalanced="0" hidden="1"/>
    <cacheHierarchy uniqueName="[Test Suite].[TestSuiteSK]" caption="TestSuiteSK" attribute="1" keyAttribute="1" defaultMemberUniqueName="[Test Suite].[TestSuiteSK].[All]" allUniqueName="[Test Suite].[TestSuiteSK].[All]" dimensionUniqueName="[Test Suite]" displayFolder="" count="0" unbalanced="0" hidden="1"/>
    <cacheHierarchy uniqueName="[Today].[Date]" caption="Date" attribute="1" defaultMemberUniqueName="[Today].[Date].[All]" allUniqueName="[Today].[Date].[All]" dimensionUniqueName="[Today]" displayFolder="" count="0" unbalanced="0" hidden="1"/>
    <cacheHierarchy uniqueName="[Today].[Day Of Month]" caption="Day Of Month" attribute="1" defaultMemberUniqueName="[Today].[Day Of Month].[All]" allUniqueName="[Today].[Day Of Month].[All]" dimensionUniqueName="[Today]" displayFolder="" count="0" unbalanced="0" hidden="1"/>
    <cacheHierarchy uniqueName="[Today].[Day Of Week]" caption="Day Of Week" attribute="1" defaultMemberUniqueName="[Today].[Day Of Week].[All]" allUniqueName="[Today].[Day Of Week].[All]" dimensionUniqueName="[Today]" displayFolder="" count="0" unbalanced="0" hidden="1"/>
    <cacheHierarchy uniqueName="[Today].[Day Of Year]" caption="Day Of Year" attribute="1" defaultMemberUniqueName="[Today].[Day Of Year].[All]" allUniqueName="[Today].[Day Of Year].[All]" dimensionUniqueName="[Today]" displayFolder="" count="0" unbalanced="0" hidden="1"/>
    <cacheHierarchy uniqueName="[Today].[Month]" caption="Month" attribute="1" defaultMemberUniqueName="[Today].[Month].[All]" allUniqueName="[Today].[Month].[All]" dimensionUniqueName="[Today]" displayFolder="" count="0" unbalanced="0" hidden="1"/>
    <cacheHierarchy uniqueName="[Today].[Month Of Year]" caption="Month Of Year" attribute="1" defaultMemberUniqueName="[Today].[Month Of Year].[All]" allUniqueName="[Today].[Month Of Year].[All]" dimensionUniqueName="[Today]" displayFolder="" count="0" unbalanced="0" hidden="1"/>
    <cacheHierarchy uniqueName="[Today].[Today]" caption="Today" attribute="1" keyAttribute="1" defaultMemberUniqueName="[Today].[Today].[All]" allUniqueName="[Today].[Today].[All]" dimensionUniqueName="[Today]" displayFolder="" count="0" unbalanced="0" hidden="1"/>
    <cacheHierarchy uniqueName="[Today].[Week]" caption="Week" attribute="1" defaultMemberUniqueName="[Today].[Week].[All]" allUniqueName="[Today].[Week].[All]" dimensionUniqueName="[Today]" displayFolder="" count="0" unbalanced="0" hidden="1"/>
    <cacheHierarchy uniqueName="[Today].[Week Of Year]" caption="Week Of Year" attribute="1" defaultMemberUniqueName="[Today].[Week Of Year].[All]" allUniqueName="[Today].[Week Of Year].[All]" dimensionUniqueName="[Today]" displayFolder="" count="0" unbalanced="0" hidden="1"/>
    <cacheHierarchy uniqueName="[Today].[Year]" caption="Year" attribute="1" defaultMemberUniqueName="[Today].[Year].[All]" allUniqueName="[Today].[Year].[All]" dimensionUniqueName="[Today]" displayFolder="" count="0" unbalanced="0" hidden="1"/>
    <cacheHierarchy uniqueName="[Tool Artifact Display Url].[TeamProjectCollectionSK]" caption="TeamProjectCollectionSK" attribute="1" defaultMemberUniqueName="[Tool Artifact Display Url].[TeamProjectCollectionSK].[All]" allUniqueName="[Tool Artifact Display Url].[TeamProjectCollectionSK].[All]" dimensionUniqueName="[Tool Artifact Display Url]" displayFolder="" count="0" unbalanced="0" hidden="1"/>
    <cacheHierarchy uniqueName="[Tool Artifact Display Url].[Tool Artifact Display Url]" caption="Tool Artifact Display Url" attribute="1" keyAttribute="1" defaultMemberUniqueName="[Tool Artifact Display Url].[Tool Artifact Display Url].[All]" allUniqueName="[Tool Artifact Display Url].[Tool Artifact Display Url].[All]" dimensionUniqueName="[Tool Artifact Display Url]" displayFolder="" count="0" unbalanced="0" hidden="1"/>
    <cacheHierarchy uniqueName="[Tool Artifact Display Url].[Tool Type]" caption="Tool Type" attribute="1" defaultMemberUniqueName="[Tool Artifact Display Url].[Tool Type].[All]" allUniqueName="[Tool Artifact Display Url].[Tool Type].[All]" dimensionUniqueName="[Tool Artifact Display Url]" displayFolder="" count="0" unbalanced="0" hidden="1"/>
    <cacheHierarchy uniqueName="[Version Control Changeset].[Changeset]" caption="Changeset" attribute="1" keyAttribute="1" defaultMemberUniqueName="[Version Control Changeset].[Changeset].[All]" allUniqueName="[Version Control Changeset].[Changeset].[All]" dimensionUniqueName="[Version Control Changeset]" displayFolder="" count="0" unbalanced="0" hidden="1"/>
    <cacheHierarchy uniqueName="[Version Control File].[File]" caption="Version Control File.File" attribute="1" keyAttribute="1" defaultMemberUniqueName="[Version Control File].[File].[All]" allUniqueName="[Version Control File].[File].[All]" dimensionUniqueName="[Version Control File]" displayFolder="" count="0" unbalanced="0" hidden="1"/>
    <cacheHierarchy uniqueName="[Work Item].[Area Team Project Collection]" caption="Work Item.Team Project Collection" attribute="1" defaultMemberUniqueName="[Work Item].[Area Team Project Collection].[All]" allUniqueName="[Work Item].[Area Team Project Collection].[All]" dimensionUniqueName="[Work Item]" displayFolder="\" count="0" unbalanced="0" hidden="1"/>
    <cacheHierarchy uniqueName="[Work Item].[Area0]" caption="Work Item.Area0" attribute="1" defaultMemberUniqueName="[Work Item].[Area0].[All]" allUniqueName="[Work Item].[Area0].[All]" dimensionUniqueName="[Work Item]" displayFolder="\" count="0" unbalanced="0" hidden="1"/>
    <cacheHierarchy uniqueName="[Work Item].[Area1]" caption="Work Item.Area1" attribute="1" defaultMemberUniqueName="[Work Item].[Area1].[All]" allUniqueName="[Work Item].[Area1].[All]" dimensionUniqueName="[Work Item]" displayFolder="\" count="0" unbalanced="0" hidden="1"/>
    <cacheHierarchy uniqueName="[Work Item].[Area10]" caption="Work Item.Area10" attribute="1" defaultMemberUniqueName="[Work Item].[Area10].[All]" allUniqueName="[Work Item].[Area10].[All]" dimensionUniqueName="[Work Item]" displayFolder="\" count="0" unbalanced="0" hidden="1"/>
    <cacheHierarchy uniqueName="[Work Item].[Area11]" caption="Work Item.Area11" attribute="1" defaultMemberUniqueName="[Work Item].[Area11].[All]" allUniqueName="[Work Item].[Area11].[All]" dimensionUniqueName="[Work Item]" displayFolder="\" count="0" unbalanced="0" hidden="1"/>
    <cacheHierarchy uniqueName="[Work Item].[Area12]" caption="Work Item.Area12" attribute="1" defaultMemberUniqueName="[Work Item].[Area12].[All]" allUniqueName="[Work Item].[Area12].[All]" dimensionUniqueName="[Work Item]" displayFolder="\" count="0" unbalanced="0" hidden="1"/>
    <cacheHierarchy uniqueName="[Work Item].[Area13]" caption="Work Item.Area13" attribute="1" defaultMemberUniqueName="[Work Item].[Area13].[All]" allUniqueName="[Work Item].[Area13].[All]" dimensionUniqueName="[Work Item]" displayFolder="\" count="0" unbalanced="0" hidden="1"/>
    <cacheHierarchy uniqueName="[Work Item].[Area2]" caption="Work Item.Area2" attribute="1" defaultMemberUniqueName="[Work Item].[Area2].[All]" allUniqueName="[Work Item].[Area2].[All]" dimensionUniqueName="[Work Item]" displayFolder="\" count="0" unbalanced="0" hidden="1"/>
    <cacheHierarchy uniqueName="[Work Item].[Area3]" caption="Work Item.Area3" attribute="1" defaultMemberUniqueName="[Work Item].[Area3].[All]" allUniqueName="[Work Item].[Area3].[All]" dimensionUniqueName="[Work Item]" displayFolder="\" count="0" unbalanced="0" hidden="1"/>
    <cacheHierarchy uniqueName="[Work Item].[Area4]" caption="Work Item.Area4" attribute="1" defaultMemberUniqueName="[Work Item].[Area4].[All]" allUniqueName="[Work Item].[Area4].[All]" dimensionUniqueName="[Work Item]" displayFolder="\" count="0" unbalanced="0" hidden="1"/>
    <cacheHierarchy uniqueName="[Work Item].[Area5]" caption="Work Item.Area5" attribute="1" defaultMemberUniqueName="[Work Item].[Area5].[All]" allUniqueName="[Work Item].[Area5].[All]" dimensionUniqueName="[Work Item]" displayFolder="\" count="0" unbalanced="0" hidden="1"/>
    <cacheHierarchy uniqueName="[Work Item].[Area6]" caption="Work Item.Area6" attribute="1" defaultMemberUniqueName="[Work Item].[Area6].[All]" allUniqueName="[Work Item].[Area6].[All]" dimensionUniqueName="[Work Item]" displayFolder="\" count="0" unbalanced="0" hidden="1"/>
    <cacheHierarchy uniqueName="[Work Item].[Area7]" caption="Work Item.Area7" attribute="1" defaultMemberUniqueName="[Work Item].[Area7].[All]" allUniqueName="[Work Item].[Area7].[All]" dimensionUniqueName="[Work Item]" displayFolder="\" count="0" unbalanced="0" hidden="1"/>
    <cacheHierarchy uniqueName="[Work Item].[Area8]" caption="Work Item.Area8" attribute="1" defaultMemberUniqueName="[Work Item].[Area8].[All]" allUniqueName="[Work Item].[Area8].[All]" dimensionUniqueName="[Work Item]" displayFolder="\" count="0" unbalanced="0" hidden="1"/>
    <cacheHierarchy uniqueName="[Work Item].[Area9]" caption="Work Item.Area9" attribute="1" defaultMemberUniqueName="[Work Item].[Area9].[All]" allUniqueName="[Work Item].[Area9].[All]" dimensionUniqueName="[Work Item]" displayFolder="\" count="0" unbalanced="0" hidden="1"/>
    <cacheHierarchy uniqueName="[Work Item].[Iteration Team Project Collection]" caption="Work Item.Team Project Collection" attribute="1" defaultMemberUniqueName="[Work Item].[Iteration Team Project Collection].[All]" allUniqueName="[Work Item].[Iteration Team Project Collection].[All]" dimensionUniqueName="[Work Item]" displayFolder="\" count="0" unbalanced="0" hidden="1"/>
    <cacheHierarchy uniqueName="[Work Item].[Iteration0]" caption="Work Item.Iteration0" attribute="1" defaultMemberUniqueName="[Work Item].[Iteration0].[All]" allUniqueName="[Work Item].[Iteration0].[All]" dimensionUniqueName="[Work Item]" displayFolder="\" count="0" unbalanced="0" hidden="1"/>
    <cacheHierarchy uniqueName="[Work Item].[Iteration1]" caption="Work Item.Iteration1" attribute="1" defaultMemberUniqueName="[Work Item].[Iteration1].[All]" allUniqueName="[Work Item].[Iteration1].[All]" dimensionUniqueName="[Work Item]" displayFolder="\" count="0" unbalanced="0" hidden="1"/>
    <cacheHierarchy uniqueName="[Work Item].[Iteration10]" caption="Work Item.Iteration10" attribute="1" defaultMemberUniqueName="[Work Item].[Iteration10].[All]" allUniqueName="[Work Item].[Iteration10].[All]" dimensionUniqueName="[Work Item]" displayFolder="\" count="0" unbalanced="0" hidden="1"/>
    <cacheHierarchy uniqueName="[Work Item].[Iteration11]" caption="Work Item.Iteration11" attribute="1" defaultMemberUniqueName="[Work Item].[Iteration11].[All]" allUniqueName="[Work Item].[Iteration11].[All]" dimensionUniqueName="[Work Item]" displayFolder="\" count="0" unbalanced="0" hidden="1"/>
    <cacheHierarchy uniqueName="[Work Item].[Iteration12]" caption="Work Item.Iteration12" attribute="1" defaultMemberUniqueName="[Work Item].[Iteration12].[All]" allUniqueName="[Work Item].[Iteration12].[All]" dimensionUniqueName="[Work Item]" displayFolder="\" count="0" unbalanced="0" hidden="1"/>
    <cacheHierarchy uniqueName="[Work Item].[Iteration13]" caption="Work Item.Iteration13" attribute="1" defaultMemberUniqueName="[Work Item].[Iteration13].[All]" allUniqueName="[Work Item].[Iteration13].[All]" dimensionUniqueName="[Work Item]" displayFolder="\" count="0" unbalanced="0" hidden="1"/>
    <cacheHierarchy uniqueName="[Work Item].[Iteration2]" caption="Work Item.Iteration2" attribute="1" defaultMemberUniqueName="[Work Item].[Iteration2].[All]" allUniqueName="[Work Item].[Iteration2].[All]" dimensionUniqueName="[Work Item]" displayFolder="\" count="0" unbalanced="0" hidden="1"/>
    <cacheHierarchy uniqueName="[Work Item].[Iteration3]" caption="Work Item.Iteration3" attribute="1" defaultMemberUniqueName="[Work Item].[Iteration3].[All]" allUniqueName="[Work Item].[Iteration3].[All]" dimensionUniqueName="[Work Item]" displayFolder="\" count="0" unbalanced="0" hidden="1"/>
    <cacheHierarchy uniqueName="[Work Item].[Iteration4]" caption="Work Item.Iteration4" attribute="1" defaultMemberUniqueName="[Work Item].[Iteration4].[All]" allUniqueName="[Work Item].[Iteration4].[All]" dimensionUniqueName="[Work Item]" displayFolder="\" count="0" unbalanced="0" hidden="1"/>
    <cacheHierarchy uniqueName="[Work Item].[Iteration5]" caption="Work Item.Iteration5" attribute="1" defaultMemberUniqueName="[Work Item].[Iteration5].[All]" allUniqueName="[Work Item].[Iteration5].[All]" dimensionUniqueName="[Work Item]" displayFolder="\" count="0" unbalanced="0" hidden="1"/>
    <cacheHierarchy uniqueName="[Work Item].[Iteration6]" caption="Work Item.Iteration6" attribute="1" defaultMemberUniqueName="[Work Item].[Iteration6].[All]" allUniqueName="[Work Item].[Iteration6].[All]" dimensionUniqueName="[Work Item]" displayFolder="\" count="0" unbalanced="0" hidden="1"/>
    <cacheHierarchy uniqueName="[Work Item].[Iteration7]" caption="Work Item.Iteration7" attribute="1" defaultMemberUniqueName="[Work Item].[Iteration7].[All]" allUniqueName="[Work Item].[Iteration7].[All]" dimensionUniqueName="[Work Item]" displayFolder="\" count="0" unbalanced="0" hidden="1"/>
    <cacheHierarchy uniqueName="[Work Item].[Iteration8]" caption="Work Item.Iteration8" attribute="1" defaultMemberUniqueName="[Work Item].[Iteration8].[All]" allUniqueName="[Work Item].[Iteration8].[All]" dimensionUniqueName="[Work Item]" displayFolder="\" count="0" unbalanced="0" hidden="1"/>
    <cacheHierarchy uniqueName="[Work Item].[Iteration9]" caption="Work Item.Iteration9" attribute="1" defaultMemberUniqueName="[Work Item].[Iteration9].[All]" allUniqueName="[Work Item].[Iteration9].[All]" dimensionUniqueName="[Work Item]" displayFolder="\" count="0" unbalanced="0" hidden="1"/>
    <cacheHierarchy uniqueName="[Work Item].[Microsoft_VSTS_Common_ActivatedDate__Month]" caption="Work Item.Microsoft_VSTS_Common_ActivatedDate Month" attribute="1" defaultMemberUniqueName="[Work Item].[Microsoft_VSTS_Common_ActivatedDate__Month].[All]" allUniqueName="[Work Item].[Microsoft_VSTS_Common_ActivatedDate__Month].[All]" dimensionUniqueName="[Work Item]" displayFolder="" count="0" unbalanced="0" hidden="1"/>
    <cacheHierarchy uniqueName="[Work Item].[Microsoft_VSTS_Common_ActivatedDate__Week]" caption="Work Item.Microsoft_VSTS_Common_ActivatedDate Week" attribute="1" defaultMemberUniqueName="[Work Item].[Microsoft_VSTS_Common_ActivatedDate__Week].[All]" allUniqueName="[Work Item].[Microsoft_VSTS_Common_ActivatedDate__Week].[All]" dimensionUniqueName="[Work Item]" displayFolder="" count="0" unbalanced="0" hidden="1"/>
    <cacheHierarchy uniqueName="[Work Item].[Microsoft_VSTS_Common_ActivatedDate__Year]" caption="Work Item.Microsoft_VSTS_Common_ActivatedDate Year" attribute="1" defaultMemberUniqueName="[Work Item].[Microsoft_VSTS_Common_ActivatedDate__Year].[All]" allUniqueName="[Work Item].[Microsoft_VSTS_Common_ActivatedDate__Year].[All]" dimensionUniqueName="[Work Item]" displayFolder="" count="0" unbalanced="0" hidden="1"/>
    <cacheHierarchy uniqueName="[Work Item].[Microsoft_VSTS_Common_ClosedDate__Month]" caption="Work Item.Microsoft_VSTS_Common_ClosedDate Month" attribute="1" defaultMemberUniqueName="[Work Item].[Microsoft_VSTS_Common_ClosedDate__Month].[All]" allUniqueName="[Work Item].[Microsoft_VSTS_Common_ClosedDate__Month].[All]" dimensionUniqueName="[Work Item]" displayFolder="" count="0" unbalanced="0" hidden="1"/>
    <cacheHierarchy uniqueName="[Work Item].[Microsoft_VSTS_Common_ClosedDate__Week]" caption="Work Item.Microsoft_VSTS_Common_ClosedDate Week" attribute="1" defaultMemberUniqueName="[Work Item].[Microsoft_VSTS_Common_ClosedDate__Week].[All]" allUniqueName="[Work Item].[Microsoft_VSTS_Common_ClosedDate__Week].[All]" dimensionUniqueName="[Work Item]" displayFolder="" count="0" unbalanced="0" hidden="1"/>
    <cacheHierarchy uniqueName="[Work Item].[Microsoft_VSTS_Common_ClosedDate__Year]" caption="Work Item.Microsoft_VSTS_Common_ClosedDate Year" attribute="1" defaultMemberUniqueName="[Work Item].[Microsoft_VSTS_Common_ClosedDate__Year].[All]" allUniqueName="[Work Item].[Microsoft_VSTS_Common_ClosedDate__Year].[All]" dimensionUniqueName="[Work Item]" displayFolder="" count="0" unbalanced="0" hidden="1"/>
    <cacheHierarchy uniqueName="[Work Item].[Microsoft_VSTS_Common_ResolvedDate__Month]" caption="Work Item.Microsoft_VSTS_Common_ResolvedDate Month" attribute="1" defaultMemberUniqueName="[Work Item].[Microsoft_VSTS_Common_ResolvedDate__Month].[All]" allUniqueName="[Work Item].[Microsoft_VSTS_Common_ResolvedDate__Month].[All]" dimensionUniqueName="[Work Item]" displayFolder="" count="0" unbalanced="0" hidden="1"/>
    <cacheHierarchy uniqueName="[Work Item].[Microsoft_VSTS_Common_ResolvedDate__Week]" caption="Work Item.Microsoft_VSTS_Common_ResolvedDate Week" attribute="1" defaultMemberUniqueName="[Work Item].[Microsoft_VSTS_Common_ResolvedDate__Week].[All]" allUniqueName="[Work Item].[Microsoft_VSTS_Common_ResolvedDate__Week].[All]" dimensionUniqueName="[Work Item]" displayFolder="" count="0" unbalanced="0" hidden="1"/>
    <cacheHierarchy uniqueName="[Work Item].[Microsoft_VSTS_Common_ResolvedDate__Year]" caption="Work Item.Microsoft_VSTS_Common_ResolvedDate Year" attribute="1" defaultMemberUniqueName="[Work Item].[Microsoft_VSTS_Common_ResolvedDate__Year].[All]" allUniqueName="[Work Item].[Microsoft_VSTS_Common_ResolvedDate__Year].[All]" dimensionUniqueName="[Work Item]" displayFolder="" count="0" unbalanced="0" hidden="1"/>
    <cacheHierarchy uniqueName="[Work Item].[Microsoft_VSTS_Scheduling_DueDate__Month]" caption="Work Item.Microsoft_VSTS_Scheduling_DueDate Month" attribute="1" defaultMemberUniqueName="[Work Item].[Microsoft_VSTS_Scheduling_DueDate__Month].[All]" allUniqueName="[Work Item].[Microsoft_VSTS_Scheduling_DueDate__Month].[All]" dimensionUniqueName="[Work Item]" displayFolder="" count="0" unbalanced="0" hidden="1"/>
    <cacheHierarchy uniqueName="[Work Item].[Microsoft_VSTS_Scheduling_DueDate__Week]" caption="Work Item.Microsoft_VSTS_Scheduling_DueDate Week" attribute="1" defaultMemberUniqueName="[Work Item].[Microsoft_VSTS_Scheduling_DueDate__Week].[All]" allUniqueName="[Work Item].[Microsoft_VSTS_Scheduling_DueDate__Week].[All]" dimensionUniqueName="[Work Item]" displayFolder="" count="0" unbalanced="0" hidden="1"/>
    <cacheHierarchy uniqueName="[Work Item].[Microsoft_VSTS_Scheduling_DueDate__Year]" caption="Work Item.Microsoft_VSTS_Scheduling_DueDate Year" attribute="1" defaultMemberUniqueName="[Work Item].[Microsoft_VSTS_Scheduling_DueDate__Year].[All]" allUniqueName="[Work Item].[Microsoft_VSTS_Scheduling_DueDate__Year].[All]" dimensionUniqueName="[Work Item]" displayFolder="" count="0" unbalanced="0" hidden="1"/>
    <cacheHierarchy uniqueName="[Work Item].[Microsoft_VSTS_Scheduling_FinishDate__Month]" caption="Work Item.Microsoft_VSTS_Scheduling_FinishDate Month" attribute="1" defaultMemberUniqueName="[Work Item].[Microsoft_VSTS_Scheduling_FinishDate__Month].[All]" allUniqueName="[Work Item].[Microsoft_VSTS_Scheduling_FinishDate__Month].[All]" dimensionUniqueName="[Work Item]" displayFolder="" count="0" unbalanced="0" hidden="1"/>
    <cacheHierarchy uniqueName="[Work Item].[Microsoft_VSTS_Scheduling_FinishDate__Week]" caption="Work Item.Microsoft_VSTS_Scheduling_FinishDate Week" attribute="1" defaultMemberUniqueName="[Work Item].[Microsoft_VSTS_Scheduling_FinishDate__Week].[All]" allUniqueName="[Work Item].[Microsoft_VSTS_Scheduling_FinishDate__Week].[All]" dimensionUniqueName="[Work Item]" displayFolder="" count="0" unbalanced="0" hidden="1"/>
    <cacheHierarchy uniqueName="[Work Item].[Microsoft_VSTS_Scheduling_FinishDate__Year]" caption="Work Item.Microsoft_VSTS_Scheduling_FinishDate Year" attribute="1" defaultMemberUniqueName="[Work Item].[Microsoft_VSTS_Scheduling_FinishDate__Year].[All]" allUniqueName="[Work Item].[Microsoft_VSTS_Scheduling_FinishDate__Year].[All]" dimensionUniqueName="[Work Item]" displayFolder="" count="0" unbalanced="0" hidden="1"/>
    <cacheHierarchy uniqueName="[Work Item].[Microsoft_VSTS_Scheduling_StartDate__Month]" caption="Work Item.Microsoft_VSTS_Scheduling_StartDate Month" attribute="1" defaultMemberUniqueName="[Work Item].[Microsoft_VSTS_Scheduling_StartDate__Month].[All]" allUniqueName="[Work Item].[Microsoft_VSTS_Scheduling_StartDate__Month].[All]" dimensionUniqueName="[Work Item]" displayFolder="" count="0" unbalanced="0" hidden="1"/>
    <cacheHierarchy uniqueName="[Work Item].[Microsoft_VSTS_Scheduling_StartDate__Week]" caption="Work Item.Microsoft_VSTS_Scheduling_StartDate Week" attribute="1" defaultMemberUniqueName="[Work Item].[Microsoft_VSTS_Scheduling_StartDate__Week].[All]" allUniqueName="[Work Item].[Microsoft_VSTS_Scheduling_StartDate__Week].[All]" dimensionUniqueName="[Work Item]" displayFolder="" count="0" unbalanced="0" hidden="1"/>
    <cacheHierarchy uniqueName="[Work Item].[Microsoft_VSTS_Scheduling_StartDate__Year]" caption="Work Item.Microsoft_VSTS_Scheduling_StartDate Year" attribute="1" defaultMemberUniqueName="[Work Item].[Microsoft_VSTS_Scheduling_StartDate__Year].[All]" allUniqueName="[Work Item].[Microsoft_VSTS_Scheduling_StartDate__Year].[All]" dimensionUniqueName="[Work Item]" displayFolder="" count="0" unbalanced="0" hidden="1"/>
    <cacheHierarchy uniqueName="[Work Item].[System_ChangedDate__Month]" caption="Work Item.System_ChangedDate Month" attribute="1" defaultMemberUniqueName="[Work Item].[System_ChangedDate__Month].[All]" allUniqueName="[Work Item].[System_ChangedDate__Month].[All]" dimensionUniqueName="[Work Item]" displayFolder="" count="0" unbalanced="0" hidden="1"/>
    <cacheHierarchy uniqueName="[Work Item].[System_ChangedDate__Week]" caption="Work Item.System_ChangedDate Week" attribute="1" defaultMemberUniqueName="[Work Item].[System_ChangedDate__Week].[All]" allUniqueName="[Work Item].[System_ChangedDate__Week].[All]" dimensionUniqueName="[Work Item]" displayFolder="" count="0" unbalanced="0" hidden="1"/>
    <cacheHierarchy uniqueName="[Work Item].[System_ChangedDate__Year]" caption="Work Item.System_ChangedDate Year" attribute="1" defaultMemberUniqueName="[Work Item].[System_ChangedDate__Year].[All]" allUniqueName="[Work Item].[System_ChangedDate__Year].[All]" dimensionUniqueName="[Work Item]" displayFolder="" count="0" unbalanced="0" hidden="1"/>
    <cacheHierarchy uniqueName="[Work Item].[System_CreatedDate__Month]" caption="Work Item.System_CreatedDate Month" attribute="1" defaultMemberUniqueName="[Work Item].[System_CreatedDate__Month].[All]" allUniqueName="[Work Item].[System_CreatedDate__Month].[All]" dimensionUniqueName="[Work Item]" displayFolder="" count="0" unbalanced="0" hidden="1"/>
    <cacheHierarchy uniqueName="[Work Item].[System_CreatedDate__Week]" caption="Work Item.System_CreatedDate Week" attribute="1" defaultMemberUniqueName="[Work Item].[System_CreatedDate__Week].[All]" allUniqueName="[Work Item].[System_CreatedDate__Week].[All]" dimensionUniqueName="[Work Item]" displayFolder="" count="0" unbalanced="0" hidden="1"/>
    <cacheHierarchy uniqueName="[Work Item].[System_CreatedDate__Year]" caption="Work Item.System_CreatedDate Year" attribute="1" defaultMemberUniqueName="[Work Item].[System_CreatedDate__Year].[All]" allUniqueName="[Work Item].[System_CreatedDate__Year].[All]" dimensionUniqueName="[Work Item]" displayFolder="" count="0" unbalanced="0" hidden="1"/>
    <cacheHierarchy uniqueName="[Work Item].[TeamProjectCollectionSK]" caption="Work Item.TeamProjectCollectionSK" attribute="1" defaultMemberUniqueName="[Work Item].[TeamProjectCollectionSK].[All]" allUniqueName="[Work Item].[TeamProjectCollectionSK].[All]" dimensionUniqueName="[Work Item]" displayFolder="\" count="0" unbalanced="0" hidden="1"/>
    <cacheHierarchy uniqueName="[Work Item].[TeamProjectSK]" caption="Work Item.TeamProjectSK" attribute="1" defaultMemberUniqueName="[Work Item].[TeamProjectSK].[All]" allUniqueName="[Work Item].[TeamProjectSK].[All]" dimensionUniqueName="[Work Item]" displayFolder="\" count="0" unbalanced="0" hidden="1"/>
    <cacheHierarchy uniqueName="[Work Item].[Work Item]" caption="Work Item.Work Item" attribute="1" keyAttribute="1" defaultMemberUniqueName="[Work Item].[Work Item].[All]" allUniqueName="[Work Item].[Work Item].[All]" dimensionUniqueName="[Work Item]" displayFolder="" count="0" unbalanced="0" hidden="1"/>
    <cacheHierarchy uniqueName="[Work Item Category].[WorkItemCategoryBK]" caption="WorkItemCategoryBK" attribute="1" defaultMemberUniqueName="[Work Item Category].[WorkItemCategoryBK].[All]" allUniqueName="[Work Item Category].[WorkItemCategoryBK].[All]" dimensionUniqueName="[Work Item Category]" displayFolder="" count="0" unbalanced="0" hidden="1"/>
    <cacheHierarchy uniqueName="[Work Item Category].[WorkItemCategorySK]" caption="WorkItemCategorySK" attribute="1" keyAttribute="1" defaultMemberUniqueName="[Work Item Category].[WorkItemCategorySK].[All]" allUniqueName="[Work Item Category].[WorkItemCategorySK].[All]" dimensionUniqueName="[Work Item Category]" displayFolder="" count="0" unbalanced="0" hidden="1"/>
    <cacheHierarchy uniqueName="[Work Item Link Type].[TeamProjectCollectionSK]" caption="TeamProjectCollectionSK" attribute="1" defaultMemberUniqueName="[Work Item Link Type].[TeamProjectCollectionSK].[All]" allUniqueName="[Work Item Link Type].[TeamProjectCollectionSK].[All]" dimensionUniqueName="[Work Item Link Type]" displayFolder="" count="0" unbalanced="0" hidden="1"/>
    <cacheHierarchy uniqueName="[Work Item Link Type].[WorkItemLinkTypeBK]" caption="WorkItemLinkTypeBK" attribute="1" defaultMemberUniqueName="[Work Item Link Type].[WorkItemLinkTypeBK].[All]" allUniqueName="[Work Item Link Type].[WorkItemLinkTypeBK].[All]" dimensionUniqueName="[Work Item Link Type]" displayFolder="" count="0" unbalanced="0" hidden="1"/>
    <cacheHierarchy uniqueName="[Work Item Link Type].[WorkItemLinkTypeSK]" caption="WorkItemLinkTypeSK" attribute="1" keyAttribute="1" defaultMemberUniqueName="[Work Item Link Type].[WorkItemLinkTypeSK].[All]" allUniqueName="[Work Item Link Type].[WorkItemLinkTypeSK].[All]" dimensionUniqueName="[Work Item Link Type]" displayFolder="" count="0" unbalanced="0" hidden="1"/>
    <cacheHierarchy uniqueName="[Work Item Linked].[Area Team Project Collection]" caption="Work Item Linked.Team Project Collection" attribute="1" defaultMemberUniqueName="[Work Item Linked].[Area Team Project Collection].[All]" allUniqueName="[Work Item Linked].[Area Team Project Collection].[All]" dimensionUniqueName="[Work Item Linked]" displayFolder="\" count="0" unbalanced="0" hidden="1"/>
    <cacheHierarchy uniqueName="[Work Item Linked].[Area0]" caption="Work Item Linked.Area0" attribute="1" defaultMemberUniqueName="[Work Item Linked].[Area0].[All]" allUniqueName="[Work Item Linked].[Area0].[All]" dimensionUniqueName="[Work Item Linked]" displayFolder="\" count="0" unbalanced="0" hidden="1"/>
    <cacheHierarchy uniqueName="[Work Item Linked].[Area1]" caption="Work Item Linked.Area1" attribute="1" defaultMemberUniqueName="[Work Item Linked].[Area1].[All]" allUniqueName="[Work Item Linked].[Area1].[All]" dimensionUniqueName="[Work Item Linked]" displayFolder="\" count="0" unbalanced="0" hidden="1"/>
    <cacheHierarchy uniqueName="[Work Item Linked].[Area10]" caption="Work Item Linked.Area10" attribute="1" defaultMemberUniqueName="[Work Item Linked].[Area10].[All]" allUniqueName="[Work Item Linked].[Area10].[All]" dimensionUniqueName="[Work Item Linked]" displayFolder="\" count="0" unbalanced="0" hidden="1"/>
    <cacheHierarchy uniqueName="[Work Item Linked].[Area11]" caption="Work Item Linked.Area11" attribute="1" defaultMemberUniqueName="[Work Item Linked].[Area11].[All]" allUniqueName="[Work Item Linked].[Area11].[All]" dimensionUniqueName="[Work Item Linked]" displayFolder="\" count="0" unbalanced="0" hidden="1"/>
    <cacheHierarchy uniqueName="[Work Item Linked].[Area12]" caption="Work Item Linked.Area12" attribute="1" defaultMemberUniqueName="[Work Item Linked].[Area12].[All]" allUniqueName="[Work Item Linked].[Area12].[All]" dimensionUniqueName="[Work Item Linked]" displayFolder="\" count="0" unbalanced="0" hidden="1"/>
    <cacheHierarchy uniqueName="[Work Item Linked].[Area13]" caption="Work Item Linked.Area13" attribute="1" defaultMemberUniqueName="[Work Item Linked].[Area13].[All]" allUniqueName="[Work Item Linked].[Area13].[All]" dimensionUniqueName="[Work Item Linked]" displayFolder="\" count="0" unbalanced="0" hidden="1"/>
    <cacheHierarchy uniqueName="[Work Item Linked].[Area2]" caption="Work Item Linked.Area2" attribute="1" defaultMemberUniqueName="[Work Item Linked].[Area2].[All]" allUniqueName="[Work Item Linked].[Area2].[All]" dimensionUniqueName="[Work Item Linked]" displayFolder="\" count="0" unbalanced="0" hidden="1"/>
    <cacheHierarchy uniqueName="[Work Item Linked].[Area3]" caption="Work Item Linked.Area3" attribute="1" defaultMemberUniqueName="[Work Item Linked].[Area3].[All]" allUniqueName="[Work Item Linked].[Area3].[All]" dimensionUniqueName="[Work Item Linked]" displayFolder="\" count="0" unbalanced="0" hidden="1"/>
    <cacheHierarchy uniqueName="[Work Item Linked].[Area4]" caption="Work Item Linked.Area4" attribute="1" defaultMemberUniqueName="[Work Item Linked].[Area4].[All]" allUniqueName="[Work Item Linked].[Area4].[All]" dimensionUniqueName="[Work Item Linked]" displayFolder="\" count="0" unbalanced="0" hidden="1"/>
    <cacheHierarchy uniqueName="[Work Item Linked].[Area5]" caption="Work Item Linked.Area5" attribute="1" defaultMemberUniqueName="[Work Item Linked].[Area5].[All]" allUniqueName="[Work Item Linked].[Area5].[All]" dimensionUniqueName="[Work Item Linked]" displayFolder="\" count="0" unbalanced="0" hidden="1"/>
    <cacheHierarchy uniqueName="[Work Item Linked].[Area6]" caption="Work Item Linked.Area6" attribute="1" defaultMemberUniqueName="[Work Item Linked].[Area6].[All]" allUniqueName="[Work Item Linked].[Area6].[All]" dimensionUniqueName="[Work Item Linked]" displayFolder="\" count="0" unbalanced="0" hidden="1"/>
    <cacheHierarchy uniqueName="[Work Item Linked].[Area7]" caption="Work Item Linked.Area7" attribute="1" defaultMemberUniqueName="[Work Item Linked].[Area7].[All]" allUniqueName="[Work Item Linked].[Area7].[All]" dimensionUniqueName="[Work Item Linked]" displayFolder="\" count="0" unbalanced="0" hidden="1"/>
    <cacheHierarchy uniqueName="[Work Item Linked].[Area8]" caption="Work Item Linked.Area8" attribute="1" defaultMemberUniqueName="[Work Item Linked].[Area8].[All]" allUniqueName="[Work Item Linked].[Area8].[All]" dimensionUniqueName="[Work Item Linked]" displayFolder="\" count="0" unbalanced="0" hidden="1"/>
    <cacheHierarchy uniqueName="[Work Item Linked].[Area9]" caption="Work Item Linked.Area9" attribute="1" defaultMemberUniqueName="[Work Item Linked].[Area9].[All]" allUniqueName="[Work Item Linked].[Area9].[All]" dimensionUniqueName="[Work Item Linked]" displayFolder="\" count="0" unbalanced="0" hidden="1"/>
    <cacheHierarchy uniqueName="[Work Item Linked].[Iteration Team Project Collection]" caption="Work Item Linked.Team Project Collection" attribute="1" defaultMemberUniqueName="[Work Item Linked].[Iteration Team Project Collection].[All]" allUniqueName="[Work Item Linked].[Iteration Team Project Collection].[All]" dimensionUniqueName="[Work Item Linked]" displayFolder="\" count="0" unbalanced="0" hidden="1"/>
    <cacheHierarchy uniqueName="[Work Item Linked].[Iteration0]" caption="Work Item Linked.Iteration0" attribute="1" defaultMemberUniqueName="[Work Item Linked].[Iteration0].[All]" allUniqueName="[Work Item Linked].[Iteration0].[All]" dimensionUniqueName="[Work Item Linked]" displayFolder="\" count="0" unbalanced="0" hidden="1"/>
    <cacheHierarchy uniqueName="[Work Item Linked].[Iteration1]" caption="Work Item Linked.Iteration1" attribute="1" defaultMemberUniqueName="[Work Item Linked].[Iteration1].[All]" allUniqueName="[Work Item Linked].[Iteration1].[All]" dimensionUniqueName="[Work Item Linked]" displayFolder="\" count="0" unbalanced="0" hidden="1"/>
    <cacheHierarchy uniqueName="[Work Item Linked].[Iteration10]" caption="Work Item Linked.Iteration10" attribute="1" defaultMemberUniqueName="[Work Item Linked].[Iteration10].[All]" allUniqueName="[Work Item Linked].[Iteration10].[All]" dimensionUniqueName="[Work Item Linked]" displayFolder="\" count="0" unbalanced="0" hidden="1"/>
    <cacheHierarchy uniqueName="[Work Item Linked].[Iteration11]" caption="Work Item Linked.Iteration11" attribute="1" defaultMemberUniqueName="[Work Item Linked].[Iteration11].[All]" allUniqueName="[Work Item Linked].[Iteration11].[All]" dimensionUniqueName="[Work Item Linked]" displayFolder="\" count="0" unbalanced="0" hidden="1"/>
    <cacheHierarchy uniqueName="[Work Item Linked].[Iteration12]" caption="Work Item Linked.Iteration12" attribute="1" defaultMemberUniqueName="[Work Item Linked].[Iteration12].[All]" allUniqueName="[Work Item Linked].[Iteration12].[All]" dimensionUniqueName="[Work Item Linked]" displayFolder="\" count="0" unbalanced="0" hidden="1"/>
    <cacheHierarchy uniqueName="[Work Item Linked].[Iteration13]" caption="Work Item Linked.Iteration13" attribute="1" defaultMemberUniqueName="[Work Item Linked].[Iteration13].[All]" allUniqueName="[Work Item Linked].[Iteration13].[All]" dimensionUniqueName="[Work Item Linked]" displayFolder="\" count="0" unbalanced="0" hidden="1"/>
    <cacheHierarchy uniqueName="[Work Item Linked].[Iteration2]" caption="Work Item Linked.Iteration2" attribute="1" defaultMemberUniqueName="[Work Item Linked].[Iteration2].[All]" allUniqueName="[Work Item Linked].[Iteration2].[All]" dimensionUniqueName="[Work Item Linked]" displayFolder="\" count="0" unbalanced="0" hidden="1"/>
    <cacheHierarchy uniqueName="[Work Item Linked].[Iteration3]" caption="Work Item Linked.Iteration3" attribute="1" defaultMemberUniqueName="[Work Item Linked].[Iteration3].[All]" allUniqueName="[Work Item Linked].[Iteration3].[All]" dimensionUniqueName="[Work Item Linked]" displayFolder="\" count="0" unbalanced="0" hidden="1"/>
    <cacheHierarchy uniqueName="[Work Item Linked].[Iteration4]" caption="Work Item Linked.Iteration4" attribute="1" defaultMemberUniqueName="[Work Item Linked].[Iteration4].[All]" allUniqueName="[Work Item Linked].[Iteration4].[All]" dimensionUniqueName="[Work Item Linked]" displayFolder="\" count="0" unbalanced="0" hidden="1"/>
    <cacheHierarchy uniqueName="[Work Item Linked].[Iteration5]" caption="Work Item Linked.Iteration5" attribute="1" defaultMemberUniqueName="[Work Item Linked].[Iteration5].[All]" allUniqueName="[Work Item Linked].[Iteration5].[All]" dimensionUniqueName="[Work Item Linked]" displayFolder="\" count="0" unbalanced="0" hidden="1"/>
    <cacheHierarchy uniqueName="[Work Item Linked].[Iteration6]" caption="Work Item Linked.Iteration6" attribute="1" defaultMemberUniqueName="[Work Item Linked].[Iteration6].[All]" allUniqueName="[Work Item Linked].[Iteration6].[All]" dimensionUniqueName="[Work Item Linked]" displayFolder="\" count="0" unbalanced="0" hidden="1"/>
    <cacheHierarchy uniqueName="[Work Item Linked].[Iteration7]" caption="Work Item Linked.Iteration7" attribute="1" defaultMemberUniqueName="[Work Item Linked].[Iteration7].[All]" allUniqueName="[Work Item Linked].[Iteration7].[All]" dimensionUniqueName="[Work Item Linked]" displayFolder="\" count="0" unbalanced="0" hidden="1"/>
    <cacheHierarchy uniqueName="[Work Item Linked].[Iteration8]" caption="Work Item Linked.Iteration8" attribute="1" defaultMemberUniqueName="[Work Item Linked].[Iteration8].[All]" allUniqueName="[Work Item Linked].[Iteration8].[All]" dimensionUniqueName="[Work Item Linked]" displayFolder="\" count="0" unbalanced="0" hidden="1"/>
    <cacheHierarchy uniqueName="[Work Item Linked].[Iteration9]" caption="Work Item Linked.Iteration9" attribute="1" defaultMemberUniqueName="[Work Item Linked].[Iteration9].[All]" allUniqueName="[Work Item Linked].[Iteration9].[All]" dimensionUniqueName="[Work Item Linked]" displayFolder="\" count="0" unbalanced="0" hidden="1"/>
    <cacheHierarchy uniqueName="[Work Item Linked].[Microsoft_VSTS_Common_ActivatedDate__Month]" caption="Work Item Linked.Microsoft_VSTS_Common_ActivatedDate Month" attribute="1" defaultMemberUniqueName="[Work Item Linked].[Microsoft_VSTS_Common_ActivatedDate__Month].[All]" allUniqueName="[Work Item Linked].[Microsoft_VSTS_Common_ActivatedDate__Month].[All]" dimensionUniqueName="[Work Item Linked]" displayFolder="" count="0" unbalanced="0" hidden="1"/>
    <cacheHierarchy uniqueName="[Work Item Linked].[Microsoft_VSTS_Common_ActivatedDate__Week]" caption="Work Item Linked.Microsoft_VSTS_Common_ActivatedDate Week" attribute="1" defaultMemberUniqueName="[Work Item Linked].[Microsoft_VSTS_Common_ActivatedDate__Week].[All]" allUniqueName="[Work Item Linked].[Microsoft_VSTS_Common_ActivatedDate__Week].[All]" dimensionUniqueName="[Work Item Linked]" displayFolder="" count="0" unbalanced="0" hidden="1"/>
    <cacheHierarchy uniqueName="[Work Item Linked].[Microsoft_VSTS_Common_ActivatedDate__Year]" caption="Work Item Linked.Microsoft_VSTS_Common_ActivatedDate Year" attribute="1" defaultMemberUniqueName="[Work Item Linked].[Microsoft_VSTS_Common_ActivatedDate__Year].[All]" allUniqueName="[Work Item Linked].[Microsoft_VSTS_Common_ActivatedDate__Year].[All]" dimensionUniqueName="[Work Item Linked]" displayFolder="" count="0" unbalanced="0" hidden="1"/>
    <cacheHierarchy uniqueName="[Work Item Linked].[Microsoft_VSTS_Common_ClosedDate__Month]" caption="Work Item Linked.Microsoft_VSTS_Common_ClosedDate Month" attribute="1" defaultMemberUniqueName="[Work Item Linked].[Microsoft_VSTS_Common_ClosedDate__Month].[All]" allUniqueName="[Work Item Linked].[Microsoft_VSTS_Common_ClosedDate__Month].[All]" dimensionUniqueName="[Work Item Linked]" displayFolder="" count="0" unbalanced="0" hidden="1"/>
    <cacheHierarchy uniqueName="[Work Item Linked].[Microsoft_VSTS_Common_ClosedDate__Week]" caption="Work Item Linked.Microsoft_VSTS_Common_ClosedDate Week" attribute="1" defaultMemberUniqueName="[Work Item Linked].[Microsoft_VSTS_Common_ClosedDate__Week].[All]" allUniqueName="[Work Item Linked].[Microsoft_VSTS_Common_ClosedDate__Week].[All]" dimensionUniqueName="[Work Item Linked]" displayFolder="" count="0" unbalanced="0" hidden="1"/>
    <cacheHierarchy uniqueName="[Work Item Linked].[Microsoft_VSTS_Common_ClosedDate__Year]" caption="Work Item Linked.Microsoft_VSTS_Common_ClosedDate Year" attribute="1" defaultMemberUniqueName="[Work Item Linked].[Microsoft_VSTS_Common_ClosedDate__Year].[All]" allUniqueName="[Work Item Linked].[Microsoft_VSTS_Common_ClosedDate__Year].[All]" dimensionUniqueName="[Work Item Linked]" displayFolder="" count="0" unbalanced="0" hidden="1"/>
    <cacheHierarchy uniqueName="[Work Item Linked].[Microsoft_VSTS_Common_ResolvedDate__Month]" caption="Work Item Linked.Microsoft_VSTS_Common_ResolvedDate Month" attribute="1" defaultMemberUniqueName="[Work Item Linked].[Microsoft_VSTS_Common_ResolvedDate__Month].[All]" allUniqueName="[Work Item Linked].[Microsoft_VSTS_Common_ResolvedDate__Month].[All]" dimensionUniqueName="[Work Item Linked]" displayFolder="" count="0" unbalanced="0" hidden="1"/>
    <cacheHierarchy uniqueName="[Work Item Linked].[Microsoft_VSTS_Common_ResolvedDate__Week]" caption="Work Item Linked.Microsoft_VSTS_Common_ResolvedDate Week" attribute="1" defaultMemberUniqueName="[Work Item Linked].[Microsoft_VSTS_Common_ResolvedDate__Week].[All]" allUniqueName="[Work Item Linked].[Microsoft_VSTS_Common_ResolvedDate__Week].[All]" dimensionUniqueName="[Work Item Linked]" displayFolder="" count="0" unbalanced="0" hidden="1"/>
    <cacheHierarchy uniqueName="[Work Item Linked].[Microsoft_VSTS_Common_ResolvedDate__Year]" caption="Work Item Linked.Microsoft_VSTS_Common_ResolvedDate Year" attribute="1" defaultMemberUniqueName="[Work Item Linked].[Microsoft_VSTS_Common_ResolvedDate__Year].[All]" allUniqueName="[Work Item Linked].[Microsoft_VSTS_Common_ResolvedDate__Year].[All]" dimensionUniqueName="[Work Item Linked]" displayFolder="" count="0" unbalanced="0" hidden="1"/>
    <cacheHierarchy uniqueName="[Work Item Linked].[Microsoft_VSTS_Scheduling_DueDate__Month]" caption="Work Item Linked.Microsoft_VSTS_Scheduling_DueDate Month" attribute="1" defaultMemberUniqueName="[Work Item Linked].[Microsoft_VSTS_Scheduling_DueDate__Month].[All]" allUniqueName="[Work Item Linked].[Microsoft_VSTS_Scheduling_DueDate__Month].[All]" dimensionUniqueName="[Work Item Linked]" displayFolder="" count="0" unbalanced="0" hidden="1"/>
    <cacheHierarchy uniqueName="[Work Item Linked].[Microsoft_VSTS_Scheduling_DueDate__Week]" caption="Work Item Linked.Microsoft_VSTS_Scheduling_DueDate Week" attribute="1" defaultMemberUniqueName="[Work Item Linked].[Microsoft_VSTS_Scheduling_DueDate__Week].[All]" allUniqueName="[Work Item Linked].[Microsoft_VSTS_Scheduling_DueDate__Week].[All]" dimensionUniqueName="[Work Item Linked]" displayFolder="" count="0" unbalanced="0" hidden="1"/>
    <cacheHierarchy uniqueName="[Work Item Linked].[Microsoft_VSTS_Scheduling_DueDate__Year]" caption="Work Item Linked.Microsoft_VSTS_Scheduling_DueDate Year" attribute="1" defaultMemberUniqueName="[Work Item Linked].[Microsoft_VSTS_Scheduling_DueDate__Year].[All]" allUniqueName="[Work Item Linked].[Microsoft_VSTS_Scheduling_DueDate__Year].[All]" dimensionUniqueName="[Work Item Linked]" displayFolder="" count="0" unbalanced="0" hidden="1"/>
    <cacheHierarchy uniqueName="[Work Item Linked].[Microsoft_VSTS_Scheduling_FinishDate__Month]" caption="Work Item Linked.Microsoft_VSTS_Scheduling_FinishDate Month" attribute="1" defaultMemberUniqueName="[Work Item Linked].[Microsoft_VSTS_Scheduling_FinishDate__Month].[All]" allUniqueName="[Work Item Linked].[Microsoft_VSTS_Scheduling_FinishDate__Month].[All]" dimensionUniqueName="[Work Item Linked]" displayFolder="" count="0" unbalanced="0" hidden="1"/>
    <cacheHierarchy uniqueName="[Work Item Linked].[Microsoft_VSTS_Scheduling_FinishDate__Week]" caption="Work Item Linked.Microsoft_VSTS_Scheduling_FinishDate Week" attribute="1" defaultMemberUniqueName="[Work Item Linked].[Microsoft_VSTS_Scheduling_FinishDate__Week].[All]" allUniqueName="[Work Item Linked].[Microsoft_VSTS_Scheduling_FinishDate__Week].[All]" dimensionUniqueName="[Work Item Linked]" displayFolder="" count="0" unbalanced="0" hidden="1"/>
    <cacheHierarchy uniqueName="[Work Item Linked].[Microsoft_VSTS_Scheduling_FinishDate__Year]" caption="Work Item Linked.Microsoft_VSTS_Scheduling_FinishDate Year" attribute="1" defaultMemberUniqueName="[Work Item Linked].[Microsoft_VSTS_Scheduling_FinishDate__Year].[All]" allUniqueName="[Work Item Linked].[Microsoft_VSTS_Scheduling_FinishDate__Year].[All]" dimensionUniqueName="[Work Item Linked]" displayFolder="" count="0" unbalanced="0" hidden="1"/>
    <cacheHierarchy uniqueName="[Work Item Linked].[Microsoft_VSTS_Scheduling_StartDate__Month]" caption="Work Item Linked.Microsoft_VSTS_Scheduling_StartDate Month" attribute="1" defaultMemberUniqueName="[Work Item Linked].[Microsoft_VSTS_Scheduling_StartDate__Month].[All]" allUniqueName="[Work Item Linked].[Microsoft_VSTS_Scheduling_StartDate__Month].[All]" dimensionUniqueName="[Work Item Linked]" displayFolder="" count="0" unbalanced="0" hidden="1"/>
    <cacheHierarchy uniqueName="[Work Item Linked].[Microsoft_VSTS_Scheduling_StartDate__Week]" caption="Work Item Linked.Microsoft_VSTS_Scheduling_StartDate Week" attribute="1" defaultMemberUniqueName="[Work Item Linked].[Microsoft_VSTS_Scheduling_StartDate__Week].[All]" allUniqueName="[Work Item Linked].[Microsoft_VSTS_Scheduling_StartDate__Week].[All]" dimensionUniqueName="[Work Item Linked]" displayFolder="" count="0" unbalanced="0" hidden="1"/>
    <cacheHierarchy uniqueName="[Work Item Linked].[Microsoft_VSTS_Scheduling_StartDate__Year]" caption="Work Item Linked.Microsoft_VSTS_Scheduling_StartDate Year" attribute="1" defaultMemberUniqueName="[Work Item Linked].[Microsoft_VSTS_Scheduling_StartDate__Year].[All]" allUniqueName="[Work Item Linked].[Microsoft_VSTS_Scheduling_StartDate__Year].[All]" dimensionUniqueName="[Work Item Linked]" displayFolder="" count="0" unbalanced="0" hidden="1"/>
    <cacheHierarchy uniqueName="[Work Item Linked].[System_ChangedDate__Month]" caption="Work Item Linked.System_ChangedDate Month" attribute="1" defaultMemberUniqueName="[Work Item Linked].[System_ChangedDate__Month].[All]" allUniqueName="[Work Item Linked].[System_ChangedDate__Month].[All]" dimensionUniqueName="[Work Item Linked]" displayFolder="" count="0" unbalanced="0" hidden="1"/>
    <cacheHierarchy uniqueName="[Work Item Linked].[System_ChangedDate__Week]" caption="Work Item Linked.System_ChangedDate Week" attribute="1" defaultMemberUniqueName="[Work Item Linked].[System_ChangedDate__Week].[All]" allUniqueName="[Work Item Linked].[System_ChangedDate__Week].[All]" dimensionUniqueName="[Work Item Linked]" displayFolder="" count="0" unbalanced="0" hidden="1"/>
    <cacheHierarchy uniqueName="[Work Item Linked].[System_ChangedDate__Year]" caption="Work Item Linked.System_ChangedDate Year" attribute="1" defaultMemberUniqueName="[Work Item Linked].[System_ChangedDate__Year].[All]" allUniqueName="[Work Item Linked].[System_ChangedDate__Year].[All]" dimensionUniqueName="[Work Item Linked]" displayFolder="" count="0" unbalanced="0" hidden="1"/>
    <cacheHierarchy uniqueName="[Work Item Linked].[System_CreatedDate__Month]" caption="Work Item Linked.System_CreatedDate Month" attribute="1" defaultMemberUniqueName="[Work Item Linked].[System_CreatedDate__Month].[All]" allUniqueName="[Work Item Linked].[System_CreatedDate__Month].[All]" dimensionUniqueName="[Work Item Linked]" displayFolder="" count="0" unbalanced="0" hidden="1"/>
    <cacheHierarchy uniqueName="[Work Item Linked].[System_CreatedDate__Week]" caption="Work Item Linked.System_CreatedDate Week" attribute="1" defaultMemberUniqueName="[Work Item Linked].[System_CreatedDate__Week].[All]" allUniqueName="[Work Item Linked].[System_CreatedDate__Week].[All]" dimensionUniqueName="[Work Item Linked]" displayFolder="" count="0" unbalanced="0" hidden="1"/>
    <cacheHierarchy uniqueName="[Work Item Linked].[System_CreatedDate__Year]" caption="Work Item Linked.System_CreatedDate Year" attribute="1" defaultMemberUniqueName="[Work Item Linked].[System_CreatedDate__Year].[All]" allUniqueName="[Work Item Linked].[System_CreatedDate__Year].[All]" dimensionUniqueName="[Work Item Linked]" displayFolder="" count="0" unbalanced="0" hidden="1"/>
    <cacheHierarchy uniqueName="[Work Item Linked].[TeamProjectCollectionSK]" caption="Work Item Linked.TeamProjectCollectionSK" attribute="1" defaultMemberUniqueName="[Work Item Linked].[TeamProjectCollectionSK].[All]" allUniqueName="[Work Item Linked].[TeamProjectCollectionSK].[All]" dimensionUniqueName="[Work Item Linked]" displayFolder="\" count="0" unbalanced="0" hidden="1"/>
    <cacheHierarchy uniqueName="[Work Item Linked].[TeamProjectSK]" caption="Work Item Linked.TeamProjectSK" attribute="1" defaultMemberUniqueName="[Work Item Linked].[TeamProjectSK].[All]" allUniqueName="[Work Item Linked].[TeamProjectSK].[All]" dimensionUniqueName="[Work Item Linked]" displayFolder="\" count="0" unbalanced="0" hidden="1"/>
    <cacheHierarchy uniqueName="[Work Item Linked].[Work Item]" caption="Work Item Linked.Work Item" attribute="1" keyAttribute="1" defaultMemberUniqueName="[Work Item Linked].[Work Item].[All]" allUniqueName="[Work Item Linked].[Work Item].[All]" dimensionUniqueName="[Work Item Linked]" displayFolder="" count="0" unbalanced="0" hidden="1"/>
    <cacheHierarchy uniqueName="[Work Item Tree].[WorkItemTreeSK]" caption="WorkItemTreeSK" attribute="1" keyAttribute="1" defaultMemberUniqueName="[Work Item Tree].[WorkItemTreeSK].[All]" allUniqueName="[Work Item Tree].[WorkItemTreeSK].[All]" dimensionUniqueName="[Work Item Tree]" displayFolder="" count="0" unbalanced="0" hidden="1"/>
    <cacheHierarchy uniqueName="[Measures].[Revision Count]" caption="Revision Count" measure="1" displayFolder="" measureGroup="Work Item" count="0"/>
    <cacheHierarchy uniqueName="[Measures].[State Change Count]" caption="State Change Count" measure="1" displayFolder="" measureGroup="Work Item" count="0"/>
    <cacheHierarchy uniqueName="[Measures].[Compile Errors]" caption="Compile Errors" measure="1" displayFolder="" measureGroup="Build Project" count="0"/>
    <cacheHierarchy uniqueName="[Measures].[Compile Warnings]" caption="Compile Warnings" measure="1" displayFolder="" measureGroup="Build Project" count="0"/>
    <cacheHierarchy uniqueName="[Measures].[Static Analysis Errors]" caption="Static Analysis Errors" measure="1" displayFolder="" measureGroup="Build Project" count="0"/>
    <cacheHierarchy uniqueName="[Measures].[Static Analysis Warnings]" caption="Static Analysis Warnings" measure="1" displayFolder="" measureGroup="Build Project" count="0"/>
    <cacheHierarchy uniqueName="[Measures].[Build Project Count]" caption="Build Project Count" measure="1" displayFolder="" measureGroup="Build Project" count="0"/>
    <cacheHierarchy uniqueName="[Measures].[Build Duration]" caption="Build Duration" measure="1" displayFolder="" measureGroup="Build Details" count="0"/>
    <cacheHierarchy uniqueName="[Measures].[Build Details Count]" caption="Build Details Count" measure="1" displayFolder="" measureGroup="Build Details" count="0"/>
    <cacheHierarchy uniqueName="[Measures].[Lines Added]" caption="Lines Added" measure="1" displayFolder="" measureGroup="Code Churn" count="0"/>
    <cacheHierarchy uniqueName="[Measures].[Lines Modified]" caption="Lines Modified" measure="1" displayFolder="" measureGroup="Code Churn" count="0"/>
    <cacheHierarchy uniqueName="[Measures].[Lines Deleted]" caption="Lines Deleted" measure="1" displayFolder="" measureGroup="Code Churn" count="0"/>
    <cacheHierarchy uniqueName="[Measures].[Code Churn Count]" caption="Code Churn Count" measure="1" displayFolder="" measureGroup="Code Churn" count="0"/>
    <cacheHierarchy uniqueName="[Measures].[Result Count]" caption="Result Count" measure="1" displayFolder="" measureGroup="Test" count="0"/>
    <cacheHierarchy uniqueName="[Measures].[Result Transition Count]" caption="Result Transition Count" measure="1" displayFolder="" measureGroup="Test" count="0"/>
    <cacheHierarchy uniqueName="[Measures].[Build Changeset Count]" caption="Build Changeset Count" measure="1" displayFolder="" measureGroup="Build Changeset" count="0"/>
    <cacheHierarchy uniqueName="[Measures].[Lines Covered]" caption="Lines Covered" measure="1" displayFolder="" measureGroup="Build Coverage" count="0"/>
    <cacheHierarchy uniqueName="[Measures].[Lines Not Covered]" caption="Lines Not Covered" measure="1" displayFolder="" measureGroup="Build Coverage" count="0"/>
    <cacheHierarchy uniqueName="[Measures].[Lines Partially Covered]" caption="Lines Partially Covered" measure="1" displayFolder="" measureGroup="Build Coverage" count="0"/>
    <cacheHierarchy uniqueName="[Measures].[Blocks Covered]" caption="Blocks Covered" measure="1" displayFolder="" measureGroup="Build Coverage" count="0"/>
    <cacheHierarchy uniqueName="[Measures].[Blocks Not Covered]" caption="Blocks Not Covered" measure="1" displayFolder="" measureGroup="Build Coverage" count="0"/>
    <cacheHierarchy uniqueName="[Measures].[Build Coverage Count]" caption="Build Coverage" measure="1" displayFolder="" measureGroup="Build Coverage" count="0"/>
    <cacheHierarchy uniqueName="[Measures].[Run Coverage Lines Covered]" caption="Run Coverage Lines Covered" measure="1" displayFolder="" measureGroup="Run Coverage" count="0"/>
    <cacheHierarchy uniqueName="[Measures].[Run Coverage Lines Not Covered]" caption="Run Coverage Lines Not Covered" measure="1" displayFolder="" measureGroup="Run Coverage" count="0"/>
    <cacheHierarchy uniqueName="[Measures].[Run Coverage Lines Partially Covered]" caption="Run Coverage Lines Partially Covered" measure="1" displayFolder="" measureGroup="Run Coverage" count="0"/>
    <cacheHierarchy uniqueName="[Measures].[Run Coverage Blocks Covered]" caption="Run Coverage Blocks Covered" measure="1" displayFolder="" measureGroup="Run Coverage" count="0"/>
    <cacheHierarchy uniqueName="[Measures].[Run Coverage Blocks Not Covered]" caption="Run Coverage Blocks Not Covered" measure="1" displayFolder="" measureGroup="Run Coverage" count="0"/>
    <cacheHierarchy uniqueName="[Measures].[Run Coverage Count]" caption="Run Coverage" measure="1" displayFolder="" measureGroup="Run Coverage" count="0"/>
    <cacheHierarchy uniqueName="[Measures].[Microsoft_VSTS_Scheduling_RemainingWork]" caption="Remaining Work" measure="1" displayFolder="" measureGroup="Work Item" count="0" oneField="1">
      <fieldsUsage count="1">
        <fieldUsage x="43"/>
      </fieldsUsage>
    </cacheHierarchy>
    <cacheHierarchy uniqueName="[Measures].[Microsoft_VSTS_Scheduling_OriginalEstimate]" caption="Original Estimate" measure="1" displayFolder="" measureGroup="Work Item" count="0"/>
    <cacheHierarchy uniqueName="[Measures].[Microsoft_VSTS_Scheduling_CompletedWork]" caption="Completed Work" measure="1" displayFolder="" measureGroup="Work Item" count="0" oneField="1">
      <fieldsUsage count="1">
        <fieldUsage x="42"/>
      </fieldsUsage>
    </cacheHierarchy>
    <cacheHierarchy uniqueName="[Measures].[Microsoft_VSTS_Scheduling_StoryPoints]" caption="Story Points" measure="1" displayFolder="" measureGroup="Work Item" count="0"/>
    <cacheHierarchy uniqueName="[Measures].[System_ChangedDate]" caption="Changed Date" measure="1" displayFolder="Date Filters" count="0"/>
    <cacheHierarchy uniqueName="[Measures].[System_CreatedDate]" caption="Created Date" measure="1" displayFolder="Date Filters" count="0"/>
    <cacheHierarchy uniqueName="[Measures].[Microsoft_VSTS_Common_ActivatedDate]" caption="Activated Date" measure="1" displayFolder="Date Filters" count="0"/>
    <cacheHierarchy uniqueName="[Measures].[Microsoft_VSTS_Common_ResolvedDate]" caption="Resolved Date" measure="1" displayFolder="Date Filters" count="0"/>
    <cacheHierarchy uniqueName="[Measures].[Microsoft_VSTS_Common_ClosedDate]" caption="Closed Date" measure="1" displayFolder="Date Filters" count="0"/>
    <cacheHierarchy uniqueName="[Measures].[Microsoft_VSTS_Scheduling_StartDate]" caption="Start Date" measure="1" displayFolder="Date Filters" count="0"/>
    <cacheHierarchy uniqueName="[Measures].[Microsoft_VSTS_Scheduling_FinishDate]" caption="Finish Date" measure="1" displayFolder="Date Filters" count="0"/>
    <cacheHierarchy uniqueName="[Measures].[Microsoft_VSTS_Scheduling_DueDate]" caption="Due Date" measure="1" displayFolder="Date Filters" count="0"/>
    <cacheHierarchy uniqueName="[Measures].[System_Id]" caption="ID" measure="1" displayFolder="Numeric Filters" count="0"/>
    <cacheHierarchy uniqueName="[Measures].[System_Rev]" caption="Rev" measure="1" displayFolder="Numeric Filters" count="0"/>
    <cacheHierarchy uniqueName="[Measures].[Microsoft_VSTS_Common_Priority]" caption="Priority" measure="1" displayFolder="Numeric Filters" count="0"/>
    <cacheHierarchy uniqueName="[Measures].[Microsoft_VSTS_Common_StackRank]" caption="Stack Rank" measure="1" displayFolder="Numeric Filters" count="0"/>
    <cacheHierarchy uniqueName="[Measures].[Total Lines]" caption="Total Lines" measure="1" displayFolder="" measureGroup="Code Churn" count="0"/>
    <cacheHierarchy uniqueName="[Measures].[Total Churn]" caption="Total Churn" measure="1" displayFolder="" measureGroup="Code Churn" count="0"/>
    <cacheHierarchy uniqueName="[Measures].[Build Result Count Trend]" caption="Build Result Count Trend" measure="1" displayFolder="" measureGroup="Test" count="0"/>
    <cacheHierarchy uniqueName="[Measures].[Point Count Trend]" caption="Point Count Trend" measure="1" displayFolder="" measureGroup="Test" count="0"/>
    <cacheHierarchy uniqueName="[Measures].[Result Count Trend]" caption="Result Count Trend" measure="1" displayFolder="" measureGroup="Test" count="0"/>
    <cacheHierarchy uniqueName="[Measures].[Work Item Count]" caption="Work Item Count" measure="1" displayFolder="" measureGroup="Work Item" count="0"/>
    <cacheHierarchy uniqueName="[Measures].[TestCompleteDate]" caption="Test Complete Date" measure="1" displayFolder="Date Filters" count="0"/>
    <cacheHierarchy uniqueName="[Measures].[TestCreationDate]" caption="Test Creation Date" measure="1" displayFolder="Date Filters" count="0"/>
    <cacheHierarchy uniqueName="[Measures].[TestEndDate]" caption="Test End Date" measure="1" displayFolder="Date Filters" count="0"/>
    <cacheHierarchy uniqueName="[Measures].[TestStartDate]" caption="Test Start Date" measure="1" displayFolder="Date Filters" count="0"/>
    <cacheHierarchy uniqueName="[Measures].[Test Case Count]" caption="Test Case Count" measure="1" displayFolder="" measureGroup="Test" count="0"/>
    <cacheHierarchy uniqueName="[Measures].[Date Value]" caption="Date Value" measure="1" displayFolder="" count="0" oneField="1">
      <fieldsUsage count="1">
        <fieldUsage x="73"/>
      </fieldsUsage>
    </cacheHierarchy>
    <cacheHierarchy uniqueName="[Measures].[Current Work Item Count]" caption="Current Work Item Count" measure="1" displayFolder="" measureGroup="Current Work Item" count="0" hidden="1"/>
    <cacheHierarchy uniqueName="[Measures].[FactCurrentWorkItem Microsoft_VSTS_Scheduling_RemainingWork]" caption="Current Remaining Work" measure="1" displayFolder="" measureGroup="Current Work Item" count="0" hidden="1"/>
    <cacheHierarchy uniqueName="[Measures].[FactCurrentWorkItem Microsoft_VSTS_Scheduling_OriginalEstimate]" caption="Current Original Estimate" measure="1" displayFolder="" measureGroup="Current Work Item" count="0" hidden="1"/>
    <cacheHierarchy uniqueName="[Measures].[FactCurrentWorkItem Microsoft_VSTS_Scheduling_CompletedWork]" caption="Current Completed Work" measure="1" displayFolder="" measureGroup="Current Work Item" count="0" hidden="1"/>
    <cacheHierarchy uniqueName="[Measures].[FactCurrentWorkItem Microsoft_VSTS_Scheduling_StoryPoints]" caption="Current Story Points" measure="1" displayFolder="" measureGroup="Current Work Item" count="0" hidden="1"/>
    <cacheHierarchy uniqueName="[Measures].[Record Count]" caption="Record Count" measure="1" displayFolder="" measureGroup="Work Item" count="0" hidden="1"/>
    <cacheHierarchy uniqueName="[Measures].[Lastchild Record Count]" caption="Lastchild Record Count" measure="1" displayFolder="" measureGroup="Work Item" count="0" hidden="1"/>
    <cacheHierarchy uniqueName="[Measures].[FactWorkItemHistory Microsoft_VSTS_Scheduling_RemainingWork]" caption="Remaining Work Trend" measure="1" displayFolder="" measureGroup="Work Item" count="0" hidden="1"/>
    <cacheHierarchy uniqueName="[Measures].[FactWorkItemHistory Microsoft_VSTS_Scheduling_OriginalEstimate]" caption="Original Estimate Trend" measure="1" displayFolder="" measureGroup="Work Item" count="0" hidden="1"/>
    <cacheHierarchy uniqueName="[Measures].[FactWorkItemHistory Microsoft_VSTS_Scheduling_CompletedWork]" caption="Completed Work Trend" measure="1" displayFolder="" measureGroup="Work Item" count="0" hidden="1"/>
    <cacheHierarchy uniqueName="[Measures].[FactWorkItemHistory Microsoft_VSTS_Scheduling_StoryPoints]" caption="Story Points Trend" measure="1" displayFolder="" measureGroup="Work Item" count="0" hidden="1"/>
    <cacheHierarchy uniqueName="[Measures].[LastChild Microsoft_VSTS_Scheduling_RemainingWork]" caption="LastChild Remaining Work" measure="1" displayFolder="" measureGroup="Work Item" count="0" hidden="1"/>
    <cacheHierarchy uniqueName="[Measures].[LastChild Microsoft_VSTS_Scheduling_OriginalEstimate]" caption="LastChild Original Estimate" measure="1" displayFolder="" measureGroup="Work Item" count="0" hidden="1"/>
    <cacheHierarchy uniqueName="[Measures].[LastChild Microsoft_VSTS_Scheduling_CompletedWork]" caption="LastChild Completed Work" measure="1" displayFolder="" measureGroup="Work Item" count="0" hidden="1"/>
    <cacheHierarchy uniqueName="[Measures].[LastChild Microsoft_VSTS_Scheduling_StoryPoints]" caption="LastChild Story Points" measure="1" displayFolder="" measureGroup="Work Item" count="0" hidden="1"/>
    <cacheHierarchy uniqueName="[Measures].[Work Item To Tree Count]" caption="Work Item To Tree Count" measure="1" displayFolder="" measureGroup="Work Item To Tree" count="0" hidden="1"/>
    <cacheHierarchy uniqueName="[Measures].[Linked Current Work Item Count]" caption="Linked Current Work Item Count" measure="1" displayFolder="" measureGroup="Linked Current Work Item" count="0" hidden="1"/>
    <cacheHierarchy uniqueName="[Measures].[Work Item To Category Count]" caption="Work Item To Category Count" measure="1" displayFolder="" measureGroup="Work Item To Category" count="0" hidden="1"/>
    <cacheHierarchy uniqueName="[Measures].[Work Item Changeset Count]" caption="Work Item Changeset Count" measure="1" displayFolder="" measureGroup="Work Item Changeset" count="0" hidden="1"/>
    <cacheHierarchy uniqueName="[Measures].[Net Lines Added]" caption="Net Lines Added" measure="1" displayFolder="" measureGroup="Code Churn" count="0" hidden="1"/>
    <cacheHierarchy uniqueName="[Measures].[Lastchild Total Lines]" caption="Lastchild Total Lines" measure="1" displayFolder="" measureGroup="Code Churn" count="0" hidden="1"/>
    <cacheHierarchy uniqueName="[Measures].[Date Result Record Count]" caption="Date Result Record Count" measure="1" displayFolder="" measureGroup="Test" count="0" hidden="1"/>
    <cacheHierarchy uniqueName="[Measures].[Build Result Record Count]" caption="Build Result Record Count" measure="1" displayFolder="" measureGroup="Test" count="0" hidden="1"/>
    <cacheHierarchy uniqueName="[Measures].[Point Record Count]" caption="Point Record Count" measure="1" displayFolder="" measureGroup="Test" count="0" hidden="1"/>
    <cacheHierarchy uniqueName="[Measures].[Lastchild Result Record Count]" caption="Lastchild Result Record Count" measure="1" displayFolder="" measureGroup="Test" count="0" hidden="1"/>
    <cacheHierarchy uniqueName="[Measures].[Lastchild Point Record Count]" caption="Lastchild Point Record Count" measure="1" displayFolder="" measureGroup="Test" count="0" hidden="1"/>
    <cacheHierarchy uniqueName="[Measures].[Lastchild Build Result Record Count]" caption="Lastchild Build Result Record Count" measure="1" displayFolder="" measureGroup="Test" count="0" hidden="1"/>
    <cacheHierarchy uniqueName="[Measures].[Work Item With Result Link Count]" caption="Work Item With Result Link Count" measure="1" displayFolder="" measureGroup="Work Item With Result" count="0" hidden="1"/>
    <cacheHierarchy uniqueName="[Measures].[Linked Current Work Item Test Case Count]" caption="Linked Current Work Item Test Case Count" measure="1" displayFolder="" measureGroup="Linked Current Work Item Test Case" count="0" hidden="1"/>
  </cacheHierarchies>
  <kpis count="0"/>
  <calculatedMembers count="1">
    <calculatedMember name="[Measures].[Date Value]" mdx="[Date].[Date].CurrentMember.Member_Value" memberName="Date Value" hierarchy="[Measures]"/>
  </calculatedMembers>
  <dimensions count="23">
    <dimension name="Assembly" uniqueName="[Assembly]" caption="Assembly"/>
    <dimension name="Build" uniqueName="[Build]" caption="Build"/>
    <dimension name="Build Flavor" uniqueName="[Build Flavor]" caption="Build Flavor"/>
    <dimension name="Build Platform" uniqueName="[Build Platform]" caption="Build Platform"/>
    <dimension name="Build Quality" uniqueName="[Build Quality]" caption="Build Quality"/>
    <dimension name="Build Source Project File" uniqueName="[Build Source Project File]" caption="Source Project File"/>
    <dimension name="Build Status" uniqueName="[Build Status]" caption="Build Status"/>
    <dimension name="Date" uniqueName="[Date]" caption="Date"/>
    <dimension measure="1" name="Measures" uniqueName="[Measures]" caption="Measures"/>
    <dimension name="Team Project" uniqueName="[Team Project]" caption="Team Project"/>
    <dimension name="Test Case" uniqueName="[Test Case]" caption="Test Case"/>
    <dimension name="Test Configuration" uniqueName="[Test Configuration]" caption="Test Configuration"/>
    <dimension name="Test Plan" uniqueName="[Test Plan]" caption="Test Plan"/>
    <dimension name="Test Result" uniqueName="[Test Result]" caption="Test Result"/>
    <dimension name="Test Run" uniqueName="[Test Run]" caption="Test Run"/>
    <dimension name="Test Suite" uniqueName="[Test Suite]" caption="Test Suite"/>
    <dimension name="Version Control Changeset" uniqueName="[Version Control Changeset]" caption="Version Control Changeset"/>
    <dimension name="Version Control File" uniqueName="[Version Control File]" caption="Version Control File"/>
    <dimension name="Work Item" uniqueName="[Work Item]" caption="Work Item"/>
    <dimension name="Work Item Category" uniqueName="[Work Item Category]" caption="Work Item Category"/>
    <dimension name="Work Item Link Type" uniqueName="[Work Item Link Type]" caption="Work Item Link Type"/>
    <dimension name="Work Item Linked" uniqueName="[Work Item Linked]" caption="Work Item Linked"/>
    <dimension name="Work Item Tree" uniqueName="[Work Item Tree]" caption="Work Item Tree"/>
  </dimensions>
  <measureGroups count="15">
    <measureGroup name="Build Changeset" caption="Build Changeset"/>
    <measureGroup name="Build Coverage" caption="Build Coverage"/>
    <measureGroup name="Build Details" caption="Build Details"/>
    <measureGroup name="Build Project" caption="Build Project"/>
    <measureGroup name="Code Churn" caption="Code Churn"/>
    <measureGroup name="Current Work Item" caption="Current Work Item"/>
    <measureGroup name="Linked Current Work Item" caption="Linked Current Work Item"/>
    <measureGroup name="Linked Current Work Item Test Case" caption="Linked Current Work Item Test Case"/>
    <measureGroup name="Run Coverage" caption="Run Coverage"/>
    <measureGroup name="Test" caption="Test"/>
    <measureGroup name="Work Item" caption="Work Item"/>
    <measureGroup name="Work Item Changeset" caption="Work Item Changeset"/>
    <measureGroup name="Work Item To Category" caption="Work Item To Category"/>
    <measureGroup name="Work Item To Tree" caption="Work Item To Tree"/>
    <measureGroup name="Work Item With Result" caption="Work Item With Result"/>
  </measureGroups>
  <maps count="76">
    <map measureGroup="0" dimension="1"/>
    <map measureGroup="0" dimension="9"/>
    <map measureGroup="0" dimension="16"/>
    <map measureGroup="1" dimension="0"/>
    <map measureGroup="1" dimension="1"/>
    <map measureGroup="1" dimension="2"/>
    <map measureGroup="1" dimension="3"/>
    <map measureGroup="1" dimension="7"/>
    <map measureGroup="1" dimension="9"/>
    <map measureGroup="2" dimension="1"/>
    <map measureGroup="2" dimension="4"/>
    <map measureGroup="2" dimension="6"/>
    <map measureGroup="2" dimension="7"/>
    <map measureGroup="2" dimension="9"/>
    <map measureGroup="3" dimension="1"/>
    <map measureGroup="3" dimension="2"/>
    <map measureGroup="3" dimension="3"/>
    <map measureGroup="3" dimension="5"/>
    <map measureGroup="3" dimension="7"/>
    <map measureGroup="3" dimension="9"/>
    <map measureGroup="4" dimension="1"/>
    <map measureGroup="4" dimension="7"/>
    <map measureGroup="4" dimension="9"/>
    <map measureGroup="4" dimension="16"/>
    <map measureGroup="4" dimension="17"/>
    <map measureGroup="4" dimension="18"/>
    <map measureGroup="5" dimension="9"/>
    <map measureGroup="5" dimension="10"/>
    <map measureGroup="5" dimension="16"/>
    <map measureGroup="5" dimension="18"/>
    <map measureGroup="5" dimension="19"/>
    <map measureGroup="5" dimension="20"/>
    <map measureGroup="5" dimension="21"/>
    <map measureGroup="5" dimension="22"/>
    <map measureGroup="6" dimension="18"/>
    <map measureGroup="6" dimension="20"/>
    <map measureGroup="6" dimension="21"/>
    <map measureGroup="7" dimension="10"/>
    <map measureGroup="7" dimension="20"/>
    <map measureGroup="7" dimension="21"/>
    <map measureGroup="8" dimension="0"/>
    <map measureGroup="8" dimension="1"/>
    <map measureGroup="8" dimension="2"/>
    <map measureGroup="8" dimension="3"/>
    <map measureGroup="8" dimension="7"/>
    <map measureGroup="8" dimension="9"/>
    <map measureGroup="8" dimension="14"/>
    <map measureGroup="9" dimension="1"/>
    <map measureGroup="9" dimension="2"/>
    <map measureGroup="9" dimension="3"/>
    <map measureGroup="9" dimension="7"/>
    <map measureGroup="9" dimension="9"/>
    <map measureGroup="9" dimension="10"/>
    <map measureGroup="9" dimension="11"/>
    <map measureGroup="9" dimension="12"/>
    <map measureGroup="9" dimension="13"/>
    <map measureGroup="9" dimension="14"/>
    <map measureGroup="9" dimension="15"/>
    <map measureGroup="9" dimension="18"/>
    <map measureGroup="9" dimension="21"/>
    <map measureGroup="10" dimension="7"/>
    <map measureGroup="10" dimension="9"/>
    <map measureGroup="10" dimension="10"/>
    <map measureGroup="10" dimension="18"/>
    <map measureGroup="10" dimension="19"/>
    <map measureGroup="11" dimension="16"/>
    <map measureGroup="11" dimension="18"/>
    <map measureGroup="12" dimension="18"/>
    <map measureGroup="12" dimension="19"/>
    <map measureGroup="13" dimension="18"/>
    <map measureGroup="13" dimension="22"/>
    <map measureGroup="14" dimension="13"/>
    <map measureGroup="14" dimension="16"/>
    <map measureGroup="14" dimension="18"/>
    <map measureGroup="14" dimension="19"/>
    <map measureGroup="14" dimension="22"/>
  </map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BurndownPivot" cacheId="0" applyNumberFormats="0" applyBorderFormats="0" applyFontFormats="0" applyPatternFormats="0" applyAlignmentFormats="0" applyWidthHeightFormats="1" dataCaption="Values" updatedVersion="3" minRefreshableVersion="3" useAutoFormatting="1" subtotalHiddenItems="1" rowGrandTotals="0" colGrandTotals="0" itemPrintTitles="1" createdVersion="3" indent="0" showEmptyRow="1" showEmptyCol="1" outline="1" outlineData="1" multipleFieldFilters="0" rowHeaderCaption="Date" fieldListSortAscending="1">
  <location ref="D7:G40" firstHeaderRow="1" firstDataRow="2" firstDataCol="1" rowPageCount="5" colPageCount="1"/>
  <pivotFields count="74">
    <pivotField axis="axisPage" allDrilled="1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axis="axisPage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</pivotFields>
  <rowFields count="1">
    <field x="39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-2"/>
  </colFields>
  <colItems count="3">
    <i>
      <x/>
    </i>
    <i i="1">
      <x v="1"/>
    </i>
    <i i="2">
      <x v="2"/>
    </i>
  </colItems>
  <pageFields count="5">
    <pageField fld="0" hier="23" name="[Team Project].[Project Node GUID].[All].UNKNOWNMEMBER" cap="Unknown"/>
    <pageField fld="8" hier="134" name="[Work Item].[Area Hierarchy].[All]" cap="All"/>
    <pageField fld="44" hier="136" name="[Work Item].[Iteration Hierarchy].[All]" cap="All"/>
    <pageField fld="37" hier="191" name="[Work Item].[System_WorkItemType].&amp;[Task]" cap="Task"/>
    <pageField fld="38" hier="189" name="[Work Item].[System_State].[All]" cap="All"/>
  </pageFields>
  <dataFields count="3">
    <dataField fld="73" baseField="0" baseItem="0"/>
    <dataField fld="43" baseField="0" baseItem="0"/>
    <dataField name="Completed Work" fld="42" baseField="0" baseItem="0"/>
  </dataFields>
  <pivotHierarchies count="654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2">
        <mp field="40"/>
        <mp field="41"/>
      </mps>
    </pivotHierarchy>
    <pivotHierarchy/>
    <pivotHierarchy/>
    <pivotHierarchy/>
    <pivotHierarchy/>
    <pivotHierarchy/>
    <pivotHierarchy/>
    <pivotHierarchy/>
    <pivotHierarchy/>
    <pivotHierarchy/>
    <pivotHierarchy>
      <mps count="6">
        <mp field="2"/>
        <mp field="3"/>
        <mp field="4"/>
        <mp field="5"/>
        <mp field="6"/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4">
        <mp field="23"/>
        <mp field="24"/>
        <mp field="25"/>
        <mp field="26"/>
        <mp field="27"/>
        <mp field="28"/>
        <mp field="29"/>
        <mp field="30"/>
        <mp field="31"/>
        <mp field="32"/>
        <mp field="33"/>
        <mp field="34"/>
        <mp field="35"/>
        <mp field="36"/>
      </mps>
    </pivotHierarchy>
    <pivotHierarchy/>
    <pivotHierarchy>
      <mps count="14">
        <mp field="59"/>
        <mp field="60"/>
        <mp field="61"/>
        <mp field="62"/>
        <mp field="63"/>
        <mp field="64"/>
        <mp field="65"/>
        <mp field="66"/>
        <mp field="67"/>
        <mp field="68"/>
        <mp field="69"/>
        <mp field="70"/>
        <mp field="71"/>
        <mp field="7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mpleted Work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9" type="dateBetween" evalOrder="-1" id="243">
      <autoFilter ref="A1">
        <filterColumn colId="0">
          <customFilters and="1">
            <customFilter operator="greaterThanOrEqual" val="40026"/>
            <customFilter operator="lessThanOrEqual" val="40057"/>
          </customFilters>
        </filterColumn>
      </autoFilter>
    </filter>
  </filters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ables/table1.xml><?xml version="1.0" encoding="utf-8"?>
<table xmlns="http://schemas.openxmlformats.org/spreadsheetml/2006/main" id="2" name="PlannedInterruptions" displayName="PlannedInterruptions" ref="B7:G11" totalsRowShown="0" headerRowDxfId="40" dataDxfId="39">
  <tableColumns count="6">
    <tableColumn id="1" name="Team Member" dataDxfId="38" totalsRowDxfId="37"/>
    <tableColumn id="2" name="Description" dataDxfId="36" totalsRowDxfId="35"/>
    <tableColumn id="3" name="Start Date" dataDxfId="34" totalsRowDxfId="33"/>
    <tableColumn id="4" name="End Date" dataDxfId="32" totalsRowDxfId="31"/>
    <tableColumn id="5" name="Days" dataDxfId="30" totalsRowDxfId="29">
      <calculatedColumnFormula>IF(AND(ISNUMBER(PlannedInterruptions[[#This Row],[Start Date]]),ISNUMBER(PlannedInterruptions[[#This Row],[End Date]]), PlannedInterruptions[[#This Row],[Start Date]]&lt;=PlannedInterruptions[[#This Row],[End Date]]),NETWORKDAYS(PlannedInterruptions[[#This Row],[Start Date]],PlannedInterruptions[[#This Row],[End Date]]),"")</calculatedColumnFormula>
    </tableColumn>
    <tableColumn id="6" name="Remaining Days" dataDxfId="28">
      <calculatedColumnFormula>IF(AND(ISNUMBER(PlannedInterruptions[[#This Row],[Start Date]]),ISNUMBER(PlannedInterruptions[[#This Row],[End Date]]), PlannedInterruptions[[#This Row],[Start Date]]&lt;=PlannedInterruptions[[#This Row],[End Date]]),IF(OR(IterationStart&gt;PlannedInterruptions[[#This Row],[End Date]],PlannedInterruptions[[#This Row],[Start Date]]&gt;IterationEnd,PlannedInterruptions[[#This Row],[Start Date]]&gt;PlannedInterruptions[[#This Row],[End Date]],TODAY()&gt;MIN(IterationEnd,PlannedInterruptions[[#This Row],[End Date]])), 0, NETWORKDAYS(MAX(IterationStart,PlannedInterruptions[[#This Row],[Start Date]],TODAY()),MIN(IterationEnd,PlannedInterruptions[[#This Row],[End Date]]),Holidays[Date])),"")</calculatedColumnFormula>
    </tableColumn>
  </tableColumns>
  <tableStyleInfo name="Iteration Tables" showFirstColumn="0" showLastColumn="0" showRowStripes="1" showColumnStripes="0"/>
</table>
</file>

<file path=xl/tables/table2.xml><?xml version="1.0" encoding="utf-8"?>
<table xmlns="http://schemas.openxmlformats.org/spreadsheetml/2006/main" id="5" name="Holidays" displayName="Holidays" ref="B14:C19" totalsRowShown="0" headerRowDxfId="27" dataDxfId="26">
  <tableColumns count="2">
    <tableColumn id="1" name="Description" dataDxfId="25"/>
    <tableColumn id="2" name="Date" dataDxfId="24"/>
  </tableColumns>
  <tableStyleInfo name="Iteration Tables" showFirstColumn="0" showLastColumn="0" showRowStripes="1" showColumnStripes="0"/>
</table>
</file>

<file path=xl/tables/table3.xml><?xml version="1.0" encoding="utf-8"?>
<table xmlns="http://schemas.openxmlformats.org/spreadsheetml/2006/main" id="6" name="IndividualCapacity" displayName="IndividualCapacity" ref="B28:I32" totalsRowShown="0" headerRowDxfId="18" dataDxfId="17" totalsRowDxfId="16">
  <sortState ref="B30:I35">
    <sortCondition ref="B6:B12"/>
  </sortState>
  <tableColumns count="8">
    <tableColumn id="1" name="Team Member" dataDxfId="15" totalsRowDxfId="14"/>
    <tableColumn id="2" name="Hours/Day" dataDxfId="13" totalsRowDxfId="12"/>
    <tableColumn id="3" name="Days" dataDxfId="11">
      <calculatedColumnFormula>IF(ISBLANK(IndividualCapacity[[#This Row],[Team Member]]), "", IF(TODAY()&lt;=IterationStart,IterationDays,IF(TODAY()&lt;=IterationEnd, NETWORKDAYS(TODAY(),IterationEnd, Holidays[Date]),0))-SUMIF(PlannedInterruptions[Team Member], IndividualCapacity[[#This Row],[Team Member]], PlannedInterruptions[Remaining Days]))</calculatedColumnFormula>
    </tableColumn>
    <tableColumn id="4" name="Capacity" dataDxfId="10">
      <calculatedColumnFormula>IF(AND(ISNUMBER(IndividualCapacity[[#This Row],[Hours/Day]]), ISNUMBER(IndividualCapacity[[#This Row],[Days]])), IndividualCapacity[[#This Row],[Hours/Day]]*IndividualCapacity[[#This Row],[Days]], "")</calculatedColumnFormula>
    </tableColumn>
    <tableColumn id="5" name="Assigned" dataDxfId="9"/>
    <tableColumn id="6" name="Utilized" dataDxfId="8">
      <calculatedColumnFormula>IF(AND(ISNUMBER(IndividualCapacity[[#This Row],[Capacity]]),ISNUMBER(IndividualCapacity[[#This Row],[Assigned]])),MIN(IndividualCapacity[[#This Row],[Capacity]],IndividualCapacity[[#This Row],[Assigned]]),"")</calculatedColumnFormula>
    </tableColumn>
    <tableColumn id="7" name="Over" dataDxfId="7" totalsRowDxfId="6">
      <calculatedColumnFormula>IF(AND(ISNUMBER(IndividualCapacity[[#This Row],[Assigned]]),ISNUMBER(IndividualCapacity[[#This Row],[Capacity]])),IF(IndividualCapacity[[#This Row],[Assigned]]&gt;=IndividualCapacity[[#This Row],[Capacity]], IndividualCapacity[[#This Row],[Assigned]]-IndividualCapacity[[#This Row],[Capacity]], 0),"")</calculatedColumnFormula>
    </tableColumn>
    <tableColumn id="8" name="Under" dataDxfId="5" totalsRowDxfId="4">
      <calculatedColumnFormula>IF(AND(ISNUMBER(IndividualCapacity[[#This Row],[Assigned]]),ISNUMBER(IndividualCapacity[[#This Row],[Capacity]])),IF(IndividualCapacity[[#This Row],[Assigned]]&lt;=IndividualCapacity[[#This Row],[Capacity]], IndividualCapacity[[#This Row],[Capacity]]-IndividualCapacity[[#This Row],[Assigned]], 0),"")</calculatedColumnFormula>
    </tableColumn>
  </tableColumns>
  <tableStyleInfo name="Iteration Tables" showFirstColumn="0" showLastColumn="0" showRowStripes="1" showColumnStripes="0"/>
</table>
</file>

<file path=xl/tables/table4.xml><?xml version="1.0" encoding="utf-8"?>
<table xmlns="http://schemas.openxmlformats.org/spreadsheetml/2006/main" id="3" name="TrendLineTable" displayName="TrendLineTable" ref="A10:A42" headerRowDxfId="3" dataDxfId="2">
  <tableColumns count="1">
    <tableColumn id="1" name="Trend Line" totalsRowFunction="custom" dataDxfId="1" totalsRowDxfId="0">
      <calculatedColumnFormula>TrendRemainingStart</calculatedColumnFormula>
      <totalsRowFormula>A41-AverageVelocity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cklog"/>
  <dimension ref="F1:F39"/>
  <sheetViews>
    <sheetView showGridLines="0" tabSelected="1" zoomScaleNormal="100" workbookViewId="0"/>
  </sheetViews>
  <sheetFormatPr defaultRowHeight="15" x14ac:dyDescent="0.25"/>
  <cols>
    <col min="1" max="1" width="5" bestFit="1" customWidth="1"/>
    <col min="2" max="2" width="17.42578125" bestFit="1" customWidth="1"/>
    <col min="3" max="3" width="10.85546875" customWidth="1"/>
    <col min="4" max="4" width="18" bestFit="1" customWidth="1"/>
    <col min="5" max="5" width="13.7109375" bestFit="1" customWidth="1"/>
    <col min="6" max="6" width="13.7109375" style="29" bestFit="1" customWidth="1"/>
    <col min="7" max="7" width="9.140625" bestFit="1" customWidth="1"/>
    <col min="8" max="8" width="18" bestFit="1" customWidth="1"/>
    <col min="9" max="9" width="18.42578125" bestFit="1" customWidth="1"/>
    <col min="10" max="10" width="18.140625" customWidth="1"/>
    <col min="11" max="11" width="9.7109375" bestFit="1" customWidth="1"/>
    <col min="12" max="12" width="12.42578125" bestFit="1" customWidth="1"/>
    <col min="13" max="13" width="13.7109375" bestFit="1" customWidth="1"/>
    <col min="14" max="14" width="15.28515625" customWidth="1"/>
    <col min="15" max="15" width="36.140625" bestFit="1" customWidth="1"/>
  </cols>
  <sheetData>
    <row r="1" spans="6:6" x14ac:dyDescent="0.25">
      <c r="F1"/>
    </row>
    <row r="2" spans="6:6" x14ac:dyDescent="0.25">
      <c r="F2"/>
    </row>
    <row r="3" spans="6:6" x14ac:dyDescent="0.25">
      <c r="F3"/>
    </row>
    <row r="4" spans="6:6" x14ac:dyDescent="0.25">
      <c r="F4"/>
    </row>
    <row r="5" spans="6:6" x14ac:dyDescent="0.25">
      <c r="F5"/>
    </row>
    <row r="6" spans="6:6" x14ac:dyDescent="0.25">
      <c r="F6"/>
    </row>
    <row r="7" spans="6:6" x14ac:dyDescent="0.25">
      <c r="F7"/>
    </row>
    <row r="8" spans="6:6" x14ac:dyDescent="0.25">
      <c r="F8"/>
    </row>
    <row r="9" spans="6:6" x14ac:dyDescent="0.25">
      <c r="F9"/>
    </row>
    <row r="10" spans="6:6" x14ac:dyDescent="0.25">
      <c r="F10"/>
    </row>
    <row r="11" spans="6:6" x14ac:dyDescent="0.25">
      <c r="F11"/>
    </row>
    <row r="12" spans="6:6" x14ac:dyDescent="0.25">
      <c r="F12"/>
    </row>
    <row r="13" spans="6:6" x14ac:dyDescent="0.25">
      <c r="F13"/>
    </row>
    <row r="14" spans="6:6" x14ac:dyDescent="0.25">
      <c r="F14"/>
    </row>
    <row r="15" spans="6:6" x14ac:dyDescent="0.25">
      <c r="F15"/>
    </row>
    <row r="16" spans="6:6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  <row r="24" spans="6:6" x14ac:dyDescent="0.25">
      <c r="F24"/>
    </row>
    <row r="25" spans="6:6" x14ac:dyDescent="0.25">
      <c r="F25"/>
    </row>
    <row r="26" spans="6:6" x14ac:dyDescent="0.25">
      <c r="F26"/>
    </row>
    <row r="27" spans="6:6" x14ac:dyDescent="0.25">
      <c r="F27"/>
    </row>
    <row r="28" spans="6:6" x14ac:dyDescent="0.25">
      <c r="F28"/>
    </row>
    <row r="29" spans="6:6" x14ac:dyDescent="0.25">
      <c r="F29"/>
    </row>
    <row r="30" spans="6:6" x14ac:dyDescent="0.25">
      <c r="F30"/>
    </row>
    <row r="31" spans="6:6" x14ac:dyDescent="0.25">
      <c r="F31"/>
    </row>
    <row r="32" spans="6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S22"/>
  <sheetViews>
    <sheetView showGridLines="0" zoomScaleNormal="100" workbookViewId="0">
      <selection activeCell="C8" sqref="C8:H8"/>
    </sheetView>
  </sheetViews>
  <sheetFormatPr defaultRowHeight="15" x14ac:dyDescent="0.25"/>
  <cols>
    <col min="1" max="1" width="4.7109375" customWidth="1"/>
    <col min="2" max="2" width="23.7109375" customWidth="1"/>
    <col min="3" max="3" width="14.7109375" customWidth="1"/>
  </cols>
  <sheetData>
    <row r="1" spans="1:19" s="14" customFormat="1" ht="30" customHeight="1" x14ac:dyDescent="0.2">
      <c r="A1" s="14" t="s">
        <v>59</v>
      </c>
      <c r="D1" s="15"/>
      <c r="E1" s="15"/>
      <c r="F1" s="16"/>
      <c r="G1" s="16"/>
      <c r="H1" s="16"/>
      <c r="I1" s="16"/>
      <c r="L1" s="41"/>
    </row>
    <row r="2" spans="1:19" s="18" customFormat="1" ht="15" customHeight="1" x14ac:dyDescent="0.25">
      <c r="A2" s="71" t="s">
        <v>64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17"/>
      <c r="S2" s="17"/>
    </row>
    <row r="3" spans="1:19" s="18" customFormat="1" ht="39.75" customHeight="1" x14ac:dyDescent="0.25">
      <c r="A3" s="71" t="s">
        <v>63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17"/>
      <c r="S3" s="17"/>
    </row>
    <row r="4" spans="1:19" x14ac:dyDescent="0.25">
      <c r="B4" s="56" t="str">
        <f ca="1">IF(1, IF(ISERR(MacrosEnabled()), LocalizableStrings!A13, ""), TODAY())</f>
        <v/>
      </c>
    </row>
    <row r="5" spans="1:19" s="29" customFormat="1" x14ac:dyDescent="0.25"/>
    <row r="6" spans="1:19" ht="18.75" x14ac:dyDescent="0.3">
      <c r="B6" s="31" t="s">
        <v>70</v>
      </c>
      <c r="C6" s="24"/>
      <c r="D6" s="24"/>
      <c r="E6" s="24"/>
      <c r="F6" s="24"/>
      <c r="G6" s="24"/>
      <c r="H6" s="24"/>
    </row>
    <row r="7" spans="1:19" x14ac:dyDescent="0.25">
      <c r="B7" s="32" t="s">
        <v>34</v>
      </c>
      <c r="C7" s="32"/>
      <c r="D7" s="32"/>
      <c r="E7" s="32"/>
      <c r="F7" s="32"/>
      <c r="G7" s="32"/>
      <c r="H7" s="32"/>
    </row>
    <row r="8" spans="1:19" x14ac:dyDescent="0.25">
      <c r="B8" s="43" t="s">
        <v>51</v>
      </c>
      <c r="C8" s="72" t="s">
        <v>13</v>
      </c>
      <c r="D8" s="72"/>
      <c r="E8" s="72"/>
      <c r="F8" s="72"/>
      <c r="G8" s="72"/>
      <c r="H8" s="72"/>
    </row>
    <row r="9" spans="1:19" x14ac:dyDescent="0.25">
      <c r="B9" s="43" t="s">
        <v>1</v>
      </c>
      <c r="C9" s="72" t="s">
        <v>140</v>
      </c>
      <c r="D9" s="72"/>
      <c r="E9" s="72"/>
      <c r="F9" s="72"/>
      <c r="G9" s="72"/>
      <c r="H9" s="72"/>
    </row>
    <row r="10" spans="1:19" x14ac:dyDescent="0.25">
      <c r="B10" s="20"/>
      <c r="C10" s="20"/>
      <c r="D10" s="20"/>
      <c r="E10" s="20"/>
      <c r="F10" s="20"/>
      <c r="G10" s="20"/>
      <c r="H10" s="20"/>
    </row>
    <row r="11" spans="1:19" ht="18.75" x14ac:dyDescent="0.3">
      <c r="B11" s="25" t="s">
        <v>32</v>
      </c>
      <c r="C11" s="24"/>
      <c r="D11" s="24"/>
      <c r="E11" s="24"/>
      <c r="F11" s="24"/>
      <c r="G11" s="24"/>
      <c r="H11" s="24"/>
    </row>
    <row r="12" spans="1:19" x14ac:dyDescent="0.25">
      <c r="B12" s="32" t="s">
        <v>35</v>
      </c>
      <c r="C12" s="32"/>
      <c r="D12" s="19"/>
      <c r="E12" s="20"/>
      <c r="F12" s="20"/>
      <c r="G12" s="19"/>
      <c r="H12" s="19"/>
    </row>
    <row r="13" spans="1:19" x14ac:dyDescent="0.25">
      <c r="B13" s="44" t="s">
        <v>50</v>
      </c>
      <c r="C13" s="42"/>
      <c r="D13" s="52" t="str">
        <f>IF(OR(ISNUMBER(IterationStart),ISBLANK(IterationStart)), "", LocalizableStrings!A16)</f>
        <v/>
      </c>
      <c r="E13" s="22"/>
      <c r="F13" s="20"/>
      <c r="G13" s="19"/>
      <c r="H13" s="19"/>
    </row>
    <row r="14" spans="1:19" x14ac:dyDescent="0.25">
      <c r="B14" s="44" t="s">
        <v>49</v>
      </c>
      <c r="C14" s="42"/>
      <c r="D14" s="52" t="str">
        <f>IF(OR(ISNUMBER(IterationEnd),ISBLANK(IterationEnd)), "", LocalizableStrings!A16)</f>
        <v/>
      </c>
      <c r="E14" s="22"/>
      <c r="F14" s="20"/>
      <c r="G14" s="19"/>
      <c r="H14" s="19"/>
    </row>
    <row r="15" spans="1:19" x14ac:dyDescent="0.25">
      <c r="B15" s="27" t="s">
        <v>54</v>
      </c>
      <c r="C15" s="26" t="str">
        <f>IF(AND(ISNUMBER(IterationStart),ISNUMBER(IterationEnd)),IF(IterationStart&gt;IterationEnd,0,NETWORKDAYS(IterationStart,IterationEnd,Holidays[Date])), "")</f>
        <v/>
      </c>
      <c r="D15" s="52" t="str">
        <f>IF(AND(ISNUMBER(IterationStart),ISNUMBER(IterationEnd)),
        IF(IterationStart&gt;IterationEnd, LocalizableStrings!$A$12,IF(ISERROR(IterationDays), LocalizableStrings!$A$20, "")),
        ""
)</f>
        <v/>
      </c>
      <c r="E15" s="23"/>
      <c r="F15" s="20"/>
      <c r="G15" s="19"/>
      <c r="H15" s="19"/>
    </row>
    <row r="16" spans="1:19" x14ac:dyDescent="0.25">
      <c r="C16" s="23"/>
      <c r="D16" s="19"/>
      <c r="E16" s="23"/>
      <c r="F16" s="20"/>
      <c r="G16" s="21"/>
      <c r="H16" s="21"/>
    </row>
    <row r="17" spans="2:12" s="29" customFormat="1" x14ac:dyDescent="0.25">
      <c r="B17" s="30" t="s">
        <v>68</v>
      </c>
      <c r="C17" s="23"/>
      <c r="E17" s="23"/>
      <c r="F17" s="20"/>
      <c r="G17" s="21"/>
      <c r="H17" s="21"/>
    </row>
    <row r="19" spans="2:12" x14ac:dyDescent="0.25"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</row>
    <row r="20" spans="2:12" x14ac:dyDescent="0.25"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</row>
    <row r="21" spans="2:12" x14ac:dyDescent="0.25"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</row>
    <row r="22" spans="2:12" x14ac:dyDescent="0.25"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</row>
  </sheetData>
  <sheetProtection insertColumns="0" insertRows="0"/>
  <mergeCells count="6">
    <mergeCell ref="A3:Q3"/>
    <mergeCell ref="A2:Q2"/>
    <mergeCell ref="C9:H9"/>
    <mergeCell ref="C8:H8"/>
    <mergeCell ref="B19:H22"/>
    <mergeCell ref="I19:L22"/>
  </mergeCells>
  <dataValidations count="2">
    <dataValidation type="list" allowBlank="1" showErrorMessage="1" sqref="C8:H8">
      <formula1>AreaList</formula1>
    </dataValidation>
    <dataValidation type="list" allowBlank="1" showErrorMessage="1" sqref="C9:H9">
      <formula1>IterationList</formula1>
    </dataValidation>
  </dataValidations>
  <pageMargins left="0.7" right="0.7" top="0.75" bottom="0.75" header="0.3" footer="0.3"/>
  <pageSetup orientation="portrait" r:id="rId1"/>
  <colBreaks count="1" manualBreakCount="1">
    <brk id="17" max="28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erruptions"/>
  <dimension ref="A1:S25"/>
  <sheetViews>
    <sheetView showGridLines="0" zoomScaleNormal="100" workbookViewId="0">
      <selection activeCell="B8" sqref="B8"/>
    </sheetView>
  </sheetViews>
  <sheetFormatPr defaultRowHeight="15" x14ac:dyDescent="0.25"/>
  <cols>
    <col min="1" max="1" width="4.7109375" customWidth="1"/>
    <col min="2" max="3" width="25.7109375" customWidth="1"/>
    <col min="4" max="5" width="14.7109375" customWidth="1"/>
    <col min="6" max="6" width="12.7109375" customWidth="1"/>
    <col min="7" max="7" width="14.42578125" customWidth="1"/>
  </cols>
  <sheetData>
    <row r="1" spans="1:19" s="14" customFormat="1" ht="30" customHeight="1" x14ac:dyDescent="0.25">
      <c r="A1" s="14" t="s">
        <v>36</v>
      </c>
      <c r="D1" s="15"/>
      <c r="E1" s="15"/>
      <c r="F1" s="16"/>
      <c r="G1" s="16"/>
      <c r="H1" s="16"/>
      <c r="I1" s="16"/>
    </row>
    <row r="2" spans="1:19" s="18" customFormat="1" ht="15" customHeight="1" x14ac:dyDescent="0.25">
      <c r="A2" s="71" t="s">
        <v>65</v>
      </c>
      <c r="B2" s="71"/>
      <c r="C2" s="71"/>
      <c r="D2" s="71"/>
      <c r="E2" s="71"/>
      <c r="F2" s="71"/>
      <c r="G2" s="71"/>
      <c r="H2" s="54"/>
      <c r="I2" s="54"/>
      <c r="J2" s="54"/>
      <c r="K2" s="54"/>
      <c r="L2" s="54"/>
      <c r="M2" s="54"/>
      <c r="N2" s="54"/>
      <c r="O2" s="54"/>
      <c r="P2" s="54"/>
      <c r="Q2" s="54"/>
      <c r="R2" s="17"/>
      <c r="S2" s="17"/>
    </row>
    <row r="3" spans="1:19" s="18" customFormat="1" ht="54" customHeight="1" x14ac:dyDescent="0.25">
      <c r="A3" s="71" t="s">
        <v>66</v>
      </c>
      <c r="B3" s="71"/>
      <c r="C3" s="71"/>
      <c r="D3" s="71"/>
      <c r="E3" s="71"/>
      <c r="F3" s="71"/>
      <c r="G3" s="71"/>
      <c r="H3" s="54"/>
      <c r="I3" s="54"/>
      <c r="J3" s="54"/>
      <c r="K3" s="54"/>
      <c r="L3" s="54"/>
      <c r="M3" s="54"/>
      <c r="N3" s="54"/>
      <c r="O3" s="54"/>
      <c r="P3" s="54"/>
      <c r="Q3" s="54"/>
      <c r="R3" s="17"/>
      <c r="S3" s="17"/>
    </row>
    <row r="4" spans="1:19" x14ac:dyDescent="0.25">
      <c r="B4" s="56" t="str">
        <f ca="1">IF(1, IF(ISERR(MacrosEnabled()), LocalizableStrings!A13, ""), TODAY())</f>
        <v/>
      </c>
    </row>
    <row r="5" spans="1:19" s="29" customFormat="1" x14ac:dyDescent="0.25"/>
    <row r="6" spans="1:19" ht="18.75" x14ac:dyDescent="0.3">
      <c r="B6" s="31" t="s">
        <v>41</v>
      </c>
    </row>
    <row r="7" spans="1:19" x14ac:dyDescent="0.25">
      <c r="B7" s="30" t="s">
        <v>12</v>
      </c>
      <c r="C7" s="30" t="s">
        <v>3</v>
      </c>
      <c r="D7" s="57" t="s">
        <v>50</v>
      </c>
      <c r="E7" s="57" t="s">
        <v>49</v>
      </c>
      <c r="F7" s="57" t="s">
        <v>29</v>
      </c>
      <c r="G7" s="57" t="s">
        <v>80</v>
      </c>
    </row>
    <row r="8" spans="1:19" x14ac:dyDescent="0.25">
      <c r="B8" s="30"/>
      <c r="C8" s="30"/>
      <c r="D8" s="28"/>
      <c r="E8" s="28"/>
      <c r="F8" s="45" t="str">
        <f>IF(AND(ISNUMBER(PlannedInterruptions[[#This Row],[Start Date]]),ISNUMBER(PlannedInterruptions[[#This Row],[End Date]]), PlannedInterruptions[[#This Row],[Start Date]]&lt;=PlannedInterruptions[[#This Row],[End Date]]),NETWORKDAYS(PlannedInterruptions[[#This Row],[Start Date]],PlannedInterruptions[[#This Row],[End Date]]),"")</f>
        <v/>
      </c>
      <c r="G8" s="45" t="str">
        <f ca="1">IF(AND(ISNUMBER(PlannedInterruptions[[#This Row],[Start Date]]),ISNUMBER(PlannedInterruptions[[#This Row],[End Date]]), PlannedInterruptions[[#This Row],[Start Date]]&lt;=PlannedInterruptions[[#This Row],[End Date]]),IF(OR(IterationStart&gt;PlannedInterruptions[[#This Row],[End Date]],PlannedInterruptions[[#This Row],[Start Date]]&gt;IterationEnd,PlannedInterruptions[[#This Row],[Start Date]]&gt;PlannedInterruptions[[#This Row],[End Date]],TODAY()&gt;MIN(IterationEnd,PlannedInterruptions[[#This Row],[End Date]])), 0, NETWORKDAYS(MAX(IterationStart,PlannedInterruptions[[#This Row],[Start Date]],TODAY()),MIN(IterationEnd,PlannedInterruptions[[#This Row],[End Date]]),Holidays[Date])),"")</f>
        <v/>
      </c>
      <c r="I8" s="29"/>
    </row>
    <row r="9" spans="1:19" x14ac:dyDescent="0.25">
      <c r="B9" s="30"/>
      <c r="C9" s="30"/>
      <c r="D9" s="28"/>
      <c r="E9" s="28"/>
      <c r="F9" s="45" t="str">
        <f>IF(AND(ISNUMBER(PlannedInterruptions[[#This Row],[Start Date]]),ISNUMBER(PlannedInterruptions[[#This Row],[End Date]]), PlannedInterruptions[[#This Row],[Start Date]]&lt;=PlannedInterruptions[[#This Row],[End Date]]),NETWORKDAYS(PlannedInterruptions[[#This Row],[Start Date]],PlannedInterruptions[[#This Row],[End Date]]),"")</f>
        <v/>
      </c>
      <c r="G9" s="45" t="str">
        <f ca="1">IF(AND(ISNUMBER(PlannedInterruptions[[#This Row],[Start Date]]),ISNUMBER(PlannedInterruptions[[#This Row],[End Date]]), PlannedInterruptions[[#This Row],[Start Date]]&lt;=PlannedInterruptions[[#This Row],[End Date]]),IF(OR(IterationStart&gt;PlannedInterruptions[[#This Row],[End Date]],PlannedInterruptions[[#This Row],[Start Date]]&gt;IterationEnd,PlannedInterruptions[[#This Row],[Start Date]]&gt;PlannedInterruptions[[#This Row],[End Date]],TODAY()&gt;MIN(IterationEnd,PlannedInterruptions[[#This Row],[End Date]])), 0, NETWORKDAYS(MAX(IterationStart,PlannedInterruptions[[#This Row],[Start Date]],TODAY()),MIN(IterationEnd,PlannedInterruptions[[#This Row],[End Date]]),Holidays[Date])),"")</f>
        <v/>
      </c>
    </row>
    <row r="10" spans="1:19" x14ac:dyDescent="0.25">
      <c r="B10" s="30"/>
      <c r="C10" s="30"/>
      <c r="D10" s="28"/>
      <c r="E10" s="28"/>
      <c r="F10" s="45" t="str">
        <f>IF(AND(ISNUMBER(PlannedInterruptions[[#This Row],[Start Date]]),ISNUMBER(PlannedInterruptions[[#This Row],[End Date]]), PlannedInterruptions[[#This Row],[Start Date]]&lt;=PlannedInterruptions[[#This Row],[End Date]]),NETWORKDAYS(PlannedInterruptions[[#This Row],[Start Date]],PlannedInterruptions[[#This Row],[End Date]]),"")</f>
        <v/>
      </c>
      <c r="G10" s="45" t="str">
        <f ca="1">IF(AND(ISNUMBER(PlannedInterruptions[[#This Row],[Start Date]]),ISNUMBER(PlannedInterruptions[[#This Row],[End Date]]), PlannedInterruptions[[#This Row],[Start Date]]&lt;=PlannedInterruptions[[#This Row],[End Date]]),IF(OR(IterationStart&gt;PlannedInterruptions[[#This Row],[End Date]],PlannedInterruptions[[#This Row],[Start Date]]&gt;IterationEnd,PlannedInterruptions[[#This Row],[Start Date]]&gt;PlannedInterruptions[[#This Row],[End Date]],TODAY()&gt;MIN(IterationEnd,PlannedInterruptions[[#This Row],[End Date]])), 0, NETWORKDAYS(MAX(IterationStart,PlannedInterruptions[[#This Row],[Start Date]],TODAY()),MIN(IterationEnd,PlannedInterruptions[[#This Row],[End Date]]),Holidays[Date])),"")</f>
        <v/>
      </c>
    </row>
    <row r="11" spans="1:19" x14ac:dyDescent="0.25">
      <c r="B11" s="30"/>
      <c r="C11" s="30"/>
      <c r="D11" s="28"/>
      <c r="E11" s="28"/>
      <c r="F11" s="45" t="str">
        <f>IF(AND(ISNUMBER(PlannedInterruptions[[#This Row],[Start Date]]),ISNUMBER(PlannedInterruptions[[#This Row],[End Date]]), PlannedInterruptions[[#This Row],[Start Date]]&lt;=PlannedInterruptions[[#This Row],[End Date]]),NETWORKDAYS(PlannedInterruptions[[#This Row],[Start Date]],PlannedInterruptions[[#This Row],[End Date]]),"")</f>
        <v/>
      </c>
      <c r="G11" s="45" t="str">
        <f ca="1">IF(AND(ISNUMBER(PlannedInterruptions[[#This Row],[Start Date]]),ISNUMBER(PlannedInterruptions[[#This Row],[End Date]]), PlannedInterruptions[[#This Row],[Start Date]]&lt;=PlannedInterruptions[[#This Row],[End Date]]),IF(OR(IterationStart&gt;PlannedInterruptions[[#This Row],[End Date]],PlannedInterruptions[[#This Row],[Start Date]]&gt;IterationEnd,PlannedInterruptions[[#This Row],[Start Date]]&gt;PlannedInterruptions[[#This Row],[End Date]],TODAY()&gt;MIN(IterationEnd,PlannedInterruptions[[#This Row],[End Date]])), 0, NETWORKDAYS(MAX(IterationStart,PlannedInterruptions[[#This Row],[Start Date]],TODAY()),MIN(IterationEnd,PlannedInterruptions[[#This Row],[End Date]]),Holidays[Date])),"")</f>
        <v/>
      </c>
    </row>
    <row r="13" spans="1:19" ht="18.75" x14ac:dyDescent="0.3">
      <c r="B13" s="31" t="s">
        <v>2</v>
      </c>
    </row>
    <row r="14" spans="1:19" x14ac:dyDescent="0.25">
      <c r="B14" s="30" t="s">
        <v>3</v>
      </c>
      <c r="C14" s="30" t="s">
        <v>4</v>
      </c>
      <c r="D14" s="29"/>
      <c r="E14" s="29"/>
    </row>
    <row r="15" spans="1:19" x14ac:dyDescent="0.25">
      <c r="B15" s="30"/>
      <c r="C15" s="28"/>
    </row>
    <row r="16" spans="1:19" x14ac:dyDescent="0.25">
      <c r="B16" s="30"/>
      <c r="C16" s="28"/>
      <c r="D16" s="29"/>
      <c r="E16" s="29"/>
      <c r="F16" s="29"/>
    </row>
    <row r="17" spans="2:6" x14ac:dyDescent="0.25">
      <c r="B17" s="30"/>
      <c r="C17" s="28"/>
      <c r="D17" s="29"/>
      <c r="E17" s="29"/>
      <c r="F17" s="29"/>
    </row>
    <row r="18" spans="2:6" x14ac:dyDescent="0.25">
      <c r="B18" s="30"/>
      <c r="C18" s="28"/>
      <c r="D18" s="29"/>
      <c r="E18" s="29"/>
      <c r="F18" s="29"/>
    </row>
    <row r="19" spans="2:6" x14ac:dyDescent="0.25">
      <c r="B19" s="30"/>
      <c r="C19" s="28"/>
      <c r="D19" s="29"/>
      <c r="E19" s="29"/>
      <c r="F19" s="29"/>
    </row>
    <row r="22" spans="2:6" x14ac:dyDescent="0.25">
      <c r="B22" s="73" t="s">
        <v>78</v>
      </c>
      <c r="C22" s="73"/>
      <c r="D22" s="73"/>
      <c r="E22" s="73"/>
      <c r="F22" s="73"/>
    </row>
    <row r="23" spans="2:6" x14ac:dyDescent="0.25">
      <c r="B23" s="73"/>
      <c r="C23" s="73"/>
      <c r="D23" s="73"/>
      <c r="E23" s="73"/>
      <c r="F23" s="73"/>
    </row>
    <row r="24" spans="2:6" x14ac:dyDescent="0.25">
      <c r="B24" s="73"/>
      <c r="C24" s="73"/>
      <c r="D24" s="73"/>
      <c r="E24" s="73"/>
      <c r="F24" s="73"/>
    </row>
    <row r="25" spans="2:6" x14ac:dyDescent="0.25">
      <c r="B25" s="73"/>
      <c r="C25" s="73"/>
      <c r="D25" s="73"/>
      <c r="E25" s="73"/>
      <c r="F25" s="73"/>
    </row>
  </sheetData>
  <mergeCells count="3">
    <mergeCell ref="B22:F25"/>
    <mergeCell ref="A2:G2"/>
    <mergeCell ref="A3:G3"/>
  </mergeCells>
  <dataValidations count="1">
    <dataValidation type="list" allowBlank="1" showInputMessage="1" sqref="B8:B11">
      <formula1>UserList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pacityData"/>
  <dimension ref="A1:I19"/>
  <sheetViews>
    <sheetView workbookViewId="0">
      <selection activeCell="B3" sqref="B3:B10"/>
    </sheetView>
  </sheetViews>
  <sheetFormatPr defaultRowHeight="15" x14ac:dyDescent="0.25"/>
  <cols>
    <col min="1" max="1" width="31.7109375" style="11" bestFit="1" customWidth="1"/>
    <col min="2" max="2" width="51" style="11" bestFit="1" customWidth="1"/>
    <col min="3" max="3" width="36.140625" style="11" bestFit="1" customWidth="1"/>
    <col min="4" max="4" width="4.7109375" style="11" customWidth="1"/>
    <col min="5" max="5" width="25.85546875" style="11" bestFit="1" customWidth="1"/>
    <col min="6" max="6" width="10.5703125" style="11" customWidth="1"/>
    <col min="7" max="7" width="4.7109375" style="11" customWidth="1"/>
    <col min="8" max="8" width="32.140625" style="11" customWidth="1"/>
    <col min="9" max="9" width="30.5703125" style="11" customWidth="1"/>
    <col min="10" max="16384" width="9.140625" style="11"/>
  </cols>
  <sheetData>
    <row r="1" spans="1:9" s="29" customFormat="1" ht="21" x14ac:dyDescent="0.35">
      <c r="A1" s="40" t="s">
        <v>52</v>
      </c>
      <c r="E1"/>
      <c r="F1"/>
      <c r="H1" s="40" t="s">
        <v>53</v>
      </c>
    </row>
    <row r="2" spans="1:9" x14ac:dyDescent="0.25">
      <c r="A2" s="33" t="s">
        <v>14</v>
      </c>
      <c r="B2" s="33" t="s">
        <v>15</v>
      </c>
      <c r="C2" s="33" t="s">
        <v>16</v>
      </c>
      <c r="E2" s="33" t="s">
        <v>45</v>
      </c>
      <c r="F2" s="33"/>
      <c r="H2" s="33" t="s">
        <v>15</v>
      </c>
      <c r="I2" s="33" t="s">
        <v>16</v>
      </c>
    </row>
    <row r="3" spans="1:9" x14ac:dyDescent="0.25">
      <c r="A3" s="35"/>
      <c r="B3" s="29" t="s">
        <v>139</v>
      </c>
      <c r="C3" s="29" t="s">
        <v>13</v>
      </c>
      <c r="E3" s="1" t="s">
        <v>42</v>
      </c>
      <c r="F3" s="11">
        <v>0</v>
      </c>
      <c r="H3" s="29" t="s">
        <v>13</v>
      </c>
      <c r="I3" s="29" t="s">
        <v>13</v>
      </c>
    </row>
    <row r="4" spans="1:9" x14ac:dyDescent="0.25">
      <c r="A4" s="35"/>
      <c r="B4" s="29"/>
      <c r="C4" s="29"/>
      <c r="D4" s="6"/>
      <c r="H4" s="29"/>
      <c r="I4" s="29"/>
    </row>
    <row r="5" spans="1:9" x14ac:dyDescent="0.25">
      <c r="A5" s="35"/>
      <c r="B5" s="29"/>
      <c r="C5" s="29"/>
      <c r="D5" s="6"/>
      <c r="H5" s="29"/>
      <c r="I5" s="29"/>
    </row>
    <row r="6" spans="1:9" x14ac:dyDescent="0.25">
      <c r="A6" s="35"/>
      <c r="B6" s="29"/>
      <c r="C6" s="29"/>
      <c r="D6" s="6"/>
      <c r="H6" s="29"/>
      <c r="I6" s="29"/>
    </row>
    <row r="7" spans="1:9" x14ac:dyDescent="0.25">
      <c r="A7" s="29"/>
      <c r="B7" s="29"/>
      <c r="C7" s="29"/>
      <c r="D7"/>
      <c r="H7" s="29"/>
      <c r="I7" s="29"/>
    </row>
    <row r="8" spans="1:9" x14ac:dyDescent="0.25">
      <c r="A8" s="29"/>
      <c r="B8" s="29"/>
      <c r="C8" s="29"/>
      <c r="D8"/>
      <c r="H8" s="29"/>
      <c r="I8" s="29"/>
    </row>
    <row r="9" spans="1:9" x14ac:dyDescent="0.25">
      <c r="A9"/>
      <c r="B9" s="29"/>
      <c r="C9" s="29"/>
      <c r="D9"/>
      <c r="H9" s="29"/>
      <c r="I9" s="29"/>
    </row>
    <row r="10" spans="1:9" x14ac:dyDescent="0.25">
      <c r="A10"/>
      <c r="B10" s="29"/>
      <c r="C10" s="29"/>
      <c r="D10"/>
      <c r="H10" s="29"/>
    </row>
    <row r="11" spans="1:9" x14ac:dyDescent="0.25">
      <c r="A11"/>
      <c r="B11"/>
      <c r="C11"/>
      <c r="D11"/>
      <c r="H11" s="13"/>
    </row>
    <row r="12" spans="1:9" x14ac:dyDescent="0.25">
      <c r="A12"/>
      <c r="B12"/>
      <c r="C12"/>
      <c r="D12"/>
    </row>
    <row r="13" spans="1:9" x14ac:dyDescent="0.25">
      <c r="A13"/>
      <c r="B13"/>
      <c r="C13"/>
      <c r="D13"/>
    </row>
    <row r="14" spans="1:9" x14ac:dyDescent="0.25">
      <c r="A14"/>
      <c r="B14"/>
      <c r="C14"/>
      <c r="D14"/>
    </row>
    <row r="15" spans="1:9" x14ac:dyDescent="0.25">
      <c r="A15"/>
      <c r="B15"/>
      <c r="C15"/>
      <c r="D15"/>
    </row>
    <row r="16" spans="1:9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pacity"/>
  <dimension ref="A1:S38"/>
  <sheetViews>
    <sheetView showGridLines="0" zoomScaleNormal="100" workbookViewId="0">
      <selection activeCell="B16" sqref="B16"/>
    </sheetView>
  </sheetViews>
  <sheetFormatPr defaultRowHeight="15" x14ac:dyDescent="0.25"/>
  <cols>
    <col min="1" max="1" width="4.7109375" customWidth="1"/>
    <col min="2" max="2" width="30.7109375" customWidth="1"/>
    <col min="3" max="3" width="12.7109375" customWidth="1"/>
    <col min="4" max="4" width="10.7109375" customWidth="1"/>
    <col min="5" max="7" width="14.7109375" customWidth="1"/>
    <col min="8" max="9" width="10.7109375" customWidth="1"/>
    <col min="10" max="10" width="4.7109375" customWidth="1"/>
    <col min="11" max="11" width="21" customWidth="1"/>
  </cols>
  <sheetData>
    <row r="1" spans="1:19" s="14" customFormat="1" ht="30" customHeight="1" x14ac:dyDescent="0.25">
      <c r="A1" s="14" t="s">
        <v>33</v>
      </c>
      <c r="D1" s="15"/>
      <c r="E1" s="15"/>
      <c r="F1" s="16"/>
      <c r="G1" s="16"/>
      <c r="H1" s="16"/>
      <c r="I1" s="16"/>
    </row>
    <row r="2" spans="1:19" s="48" customFormat="1" ht="15" customHeight="1" x14ac:dyDescent="0.25">
      <c r="A2" s="74" t="s">
        <v>67</v>
      </c>
      <c r="B2" s="74"/>
      <c r="C2" s="74"/>
      <c r="D2" s="74"/>
      <c r="E2" s="74"/>
      <c r="F2" s="74"/>
      <c r="G2" s="74"/>
      <c r="H2" s="74"/>
      <c r="I2" s="74"/>
      <c r="J2" s="55"/>
      <c r="K2" s="55"/>
      <c r="L2" s="55"/>
      <c r="M2" s="55"/>
      <c r="N2" s="55"/>
      <c r="O2" s="55"/>
      <c r="P2" s="55"/>
      <c r="Q2" s="55"/>
      <c r="R2" s="47"/>
      <c r="S2" s="47"/>
    </row>
    <row r="3" spans="1:19" s="48" customFormat="1" ht="66" customHeight="1" x14ac:dyDescent="0.25">
      <c r="A3" s="74" t="s">
        <v>71</v>
      </c>
      <c r="B3" s="74"/>
      <c r="C3" s="74"/>
      <c r="D3" s="74"/>
      <c r="E3" s="74"/>
      <c r="F3" s="74"/>
      <c r="G3" s="74"/>
      <c r="H3" s="74"/>
      <c r="I3" s="74"/>
      <c r="J3" s="55"/>
      <c r="K3" s="55"/>
      <c r="L3" s="55"/>
      <c r="M3" s="55"/>
      <c r="N3" s="55"/>
      <c r="O3" s="55"/>
      <c r="P3" s="55"/>
      <c r="Q3" s="55"/>
      <c r="R3" s="47"/>
      <c r="S3" s="47"/>
    </row>
    <row r="4" spans="1:19" x14ac:dyDescent="0.25">
      <c r="B4" s="56" t="str">
        <f ca="1">IF(1, IF(ISERR(MacrosEnabled()), LocalizableStrings!A13, ""), TODAY())</f>
        <v/>
      </c>
    </row>
    <row r="5" spans="1:19" s="29" customFormat="1" x14ac:dyDescent="0.25"/>
    <row r="6" spans="1:19" ht="18.75" x14ac:dyDescent="0.3">
      <c r="B6" s="31" t="s">
        <v>47</v>
      </c>
      <c r="D6" s="31"/>
    </row>
    <row r="7" spans="1:19" x14ac:dyDescent="0.25">
      <c r="B7" s="33" t="s">
        <v>62</v>
      </c>
      <c r="C7" s="58" t="s">
        <v>61</v>
      </c>
    </row>
    <row r="8" spans="1:19" x14ac:dyDescent="0.25">
      <c r="B8" s="51" t="s">
        <v>5</v>
      </c>
      <c r="C8" s="51"/>
    </row>
    <row r="9" spans="1:19" x14ac:dyDescent="0.25">
      <c r="B9" s="51" t="s">
        <v>46</v>
      </c>
      <c r="C9" s="51">
        <f ca="1">SUM(IndividualCapacity[Capacity])</f>
        <v>0</v>
      </c>
    </row>
    <row r="10" spans="1:19" x14ac:dyDescent="0.25">
      <c r="B10" s="51" t="s">
        <v>72</v>
      </c>
      <c r="C10" s="51" t="str">
        <f ca="1">IF(AND(ISNUMBER(TeamRemainingWork),ISNUMBER(TeamRemainingCapacity)),IF(TeamRemainingWork&gt;=TeamRemainingCapacity, TeamRemainingCapacity,TeamRemainingWork),"")</f>
        <v/>
      </c>
    </row>
    <row r="11" spans="1:19" x14ac:dyDescent="0.25">
      <c r="B11" s="51" t="s">
        <v>39</v>
      </c>
      <c r="C11" s="49" t="str">
        <f ca="1">IF(AND(ISNUMBER(TeamRemainingWork),ISNUMBER(TeamRemainingCapacity)),IF(TeamRemainingWork&gt;=TeamRemainingCapacity,TeamRemainingWork-TeamRemainingCapacity,0),"")</f>
        <v/>
      </c>
    </row>
    <row r="12" spans="1:19" x14ac:dyDescent="0.25">
      <c r="B12" s="51" t="s">
        <v>40</v>
      </c>
      <c r="C12" s="49" t="str">
        <f ca="1">IF(AND(ISNUMBER(TeamRemainingWork),ISNUMBER(TeamRemainingCapacity)),IF(TeamRemainingCapacity&gt;=TeamRemainingWork,TeamRemainingCapacity-TeamRemainingWork,0),"")</f>
        <v/>
      </c>
    </row>
    <row r="13" spans="1:19" s="29" customFormat="1" x14ac:dyDescent="0.25">
      <c r="A13"/>
      <c r="B13"/>
      <c r="C13"/>
      <c r="D13"/>
      <c r="E13"/>
      <c r="F13"/>
      <c r="G13"/>
      <c r="H13"/>
      <c r="I13"/>
      <c r="J13"/>
    </row>
    <row r="21" spans="2:9" s="29" customFormat="1" x14ac:dyDescent="0.25"/>
    <row r="27" spans="2:9" ht="18.75" x14ac:dyDescent="0.3">
      <c r="B27" s="31" t="s">
        <v>48</v>
      </c>
      <c r="C27" s="53" t="str">
        <f>IF(AND(ISNUMBER(IterationStart), ISNUMBER(IterationEnd)), "", LocalizableStrings!A11)</f>
        <v>The Iteration dates are not set.  Switch back to the Settings tab and update the Start and End date for this Iteration.</v>
      </c>
      <c r="D27" s="50"/>
      <c r="E27" s="50"/>
      <c r="F27" s="50"/>
      <c r="G27" s="50"/>
      <c r="H27" s="50"/>
      <c r="I27" s="50"/>
    </row>
    <row r="28" spans="2:9" x14ac:dyDescent="0.25">
      <c r="B28" s="30" t="s">
        <v>12</v>
      </c>
      <c r="C28" s="57" t="s">
        <v>37</v>
      </c>
      <c r="D28" s="57" t="s">
        <v>29</v>
      </c>
      <c r="E28" s="57" t="s">
        <v>33</v>
      </c>
      <c r="F28" s="57" t="s">
        <v>38</v>
      </c>
      <c r="G28" s="57" t="s">
        <v>72</v>
      </c>
      <c r="H28" s="57" t="s">
        <v>39</v>
      </c>
      <c r="I28" s="57" t="s">
        <v>40</v>
      </c>
    </row>
    <row r="29" spans="2:9" x14ac:dyDescent="0.25">
      <c r="B29" s="30"/>
      <c r="C29" s="30"/>
      <c r="D29" s="45" t="str">
        <f ca="1">IF(ISBLANK(IndividualCapacity[[#This Row],[Team Member]]), "", IF(TODAY()&lt;=IterationStart,IterationDays,IF(TODAY()&lt;=IterationEnd, NETWORKDAYS(TODAY(),IterationEnd, Holidays[Date]),0))-SUMIF(PlannedInterruptions[Team Member], IndividualCapacity[[#This Row],[Team Member]], PlannedInterruptions[Remaining Days]))</f>
        <v/>
      </c>
      <c r="E29" s="45" t="str">
        <f ca="1">IF(AND(ISNUMBER(IndividualCapacity[[#This Row],[Hours/Day]]), ISNUMBER(IndividualCapacity[[#This Row],[Days]])), IndividualCapacity[[#This Row],[Hours/Day]]*IndividualCapacity[[#This Row],[Days]], "")</f>
        <v/>
      </c>
      <c r="F29" s="46"/>
      <c r="G29" s="45" t="str">
        <f ca="1">IF(AND(ISNUMBER(IndividualCapacity[[#This Row],[Capacity]]),ISNUMBER(IndividualCapacity[[#This Row],[Assigned]])),MIN(IndividualCapacity[[#This Row],[Capacity]],IndividualCapacity[[#This Row],[Assigned]]),"")</f>
        <v/>
      </c>
      <c r="H29" s="36" t="str">
        <f ca="1">IF(AND(ISNUMBER(IndividualCapacity[[#This Row],[Assigned]]),ISNUMBER(IndividualCapacity[[#This Row],[Capacity]])),IF(IndividualCapacity[[#This Row],[Assigned]]&gt;=IndividualCapacity[[#This Row],[Capacity]], IndividualCapacity[[#This Row],[Assigned]]-IndividualCapacity[[#This Row],[Capacity]], 0),"")</f>
        <v/>
      </c>
      <c r="I29" s="36" t="str">
        <f ca="1">IF(AND(ISNUMBER(IndividualCapacity[[#This Row],[Assigned]]),ISNUMBER(IndividualCapacity[[#This Row],[Capacity]])),IF(IndividualCapacity[[#This Row],[Assigned]]&lt;=IndividualCapacity[[#This Row],[Capacity]], IndividualCapacity[[#This Row],[Capacity]]-IndividualCapacity[[#This Row],[Assigned]], 0),"")</f>
        <v/>
      </c>
    </row>
    <row r="30" spans="2:9" x14ac:dyDescent="0.25">
      <c r="B30" s="30"/>
      <c r="C30" s="30"/>
      <c r="D30" s="45" t="str">
        <f ca="1">IF(ISBLANK(IndividualCapacity[[#This Row],[Team Member]]), "", IF(TODAY()&lt;=IterationStart,IterationDays,IF(TODAY()&lt;=IterationEnd, NETWORKDAYS(TODAY(),IterationEnd, Holidays[Date]),0))-SUMIF(PlannedInterruptions[Team Member], IndividualCapacity[[#This Row],[Team Member]], PlannedInterruptions[Remaining Days]))</f>
        <v/>
      </c>
      <c r="E30" s="45" t="str">
        <f ca="1">IF(AND(ISNUMBER(IndividualCapacity[[#This Row],[Hours/Day]]), ISNUMBER(IndividualCapacity[[#This Row],[Days]])), IndividualCapacity[[#This Row],[Hours/Day]]*IndividualCapacity[[#This Row],[Days]], "")</f>
        <v/>
      </c>
      <c r="F30" s="46"/>
      <c r="G30" s="45" t="str">
        <f ca="1">IF(AND(ISNUMBER(IndividualCapacity[[#This Row],[Capacity]]),ISNUMBER(IndividualCapacity[[#This Row],[Assigned]])),MIN(IndividualCapacity[[#This Row],[Capacity]],IndividualCapacity[[#This Row],[Assigned]]),"")</f>
        <v/>
      </c>
      <c r="H30" s="36" t="str">
        <f ca="1">IF(AND(ISNUMBER(IndividualCapacity[[#This Row],[Assigned]]),ISNUMBER(IndividualCapacity[[#This Row],[Capacity]])),IF(IndividualCapacity[[#This Row],[Assigned]]&gt;=IndividualCapacity[[#This Row],[Capacity]], IndividualCapacity[[#This Row],[Assigned]]-IndividualCapacity[[#This Row],[Capacity]], 0),"")</f>
        <v/>
      </c>
      <c r="I30" s="36" t="str">
        <f ca="1">IF(AND(ISNUMBER(IndividualCapacity[[#This Row],[Assigned]]),ISNUMBER(IndividualCapacity[[#This Row],[Capacity]])),IF(IndividualCapacity[[#This Row],[Assigned]]&lt;=IndividualCapacity[[#This Row],[Capacity]], IndividualCapacity[[#This Row],[Capacity]]-IndividualCapacity[[#This Row],[Assigned]], 0),"")</f>
        <v/>
      </c>
    </row>
    <row r="31" spans="2:9" x14ac:dyDescent="0.25">
      <c r="B31" s="30"/>
      <c r="C31" s="30"/>
      <c r="D31" s="45" t="str">
        <f ca="1">IF(ISBLANK(IndividualCapacity[[#This Row],[Team Member]]), "", IF(TODAY()&lt;=IterationStart,IterationDays,IF(TODAY()&lt;=IterationEnd, NETWORKDAYS(TODAY(),IterationEnd, Holidays[Date]),0))-SUMIF(PlannedInterruptions[Team Member], IndividualCapacity[[#This Row],[Team Member]], PlannedInterruptions[Remaining Days]))</f>
        <v/>
      </c>
      <c r="E31" s="45" t="str">
        <f ca="1">IF(AND(ISNUMBER(IndividualCapacity[[#This Row],[Hours/Day]]), ISNUMBER(IndividualCapacity[[#This Row],[Days]])), IndividualCapacity[[#This Row],[Hours/Day]]*IndividualCapacity[[#This Row],[Days]], "")</f>
        <v/>
      </c>
      <c r="F31" s="46"/>
      <c r="G31" s="45" t="str">
        <f ca="1">IF(AND(ISNUMBER(IndividualCapacity[[#This Row],[Capacity]]),ISNUMBER(IndividualCapacity[[#This Row],[Assigned]])),MIN(IndividualCapacity[[#This Row],[Capacity]],IndividualCapacity[[#This Row],[Assigned]]),"")</f>
        <v/>
      </c>
      <c r="H31" s="36" t="str">
        <f ca="1">IF(AND(ISNUMBER(IndividualCapacity[[#This Row],[Assigned]]),ISNUMBER(IndividualCapacity[[#This Row],[Capacity]])),IF(IndividualCapacity[[#This Row],[Assigned]]&gt;=IndividualCapacity[[#This Row],[Capacity]], IndividualCapacity[[#This Row],[Assigned]]-IndividualCapacity[[#This Row],[Capacity]], 0),"")</f>
        <v/>
      </c>
      <c r="I31" s="36" t="str">
        <f ca="1">IF(AND(ISNUMBER(IndividualCapacity[[#This Row],[Assigned]]),ISNUMBER(IndividualCapacity[[#This Row],[Capacity]])),IF(IndividualCapacity[[#This Row],[Assigned]]&lt;=IndividualCapacity[[#This Row],[Capacity]], IndividualCapacity[[#This Row],[Capacity]]-IndividualCapacity[[#This Row],[Assigned]], 0),"")</f>
        <v/>
      </c>
    </row>
    <row r="32" spans="2:9" x14ac:dyDescent="0.25">
      <c r="B32" s="30"/>
      <c r="C32" s="30"/>
      <c r="D32" s="45" t="str">
        <f ca="1">IF(ISBLANK(IndividualCapacity[[#This Row],[Team Member]]), "", IF(TODAY()&lt;=IterationStart,IterationDays,IF(TODAY()&lt;=IterationEnd, NETWORKDAYS(TODAY(),IterationEnd, Holidays[Date]),0))-SUMIF(PlannedInterruptions[Team Member], IndividualCapacity[[#This Row],[Team Member]], PlannedInterruptions[Remaining Days]))</f>
        <v/>
      </c>
      <c r="E32" s="45" t="str">
        <f ca="1">IF(AND(ISNUMBER(IndividualCapacity[[#This Row],[Hours/Day]]), ISNUMBER(IndividualCapacity[[#This Row],[Days]])), IndividualCapacity[[#This Row],[Hours/Day]]*IndividualCapacity[[#This Row],[Days]], "")</f>
        <v/>
      </c>
      <c r="F32" s="46"/>
      <c r="G32" s="45" t="str">
        <f ca="1">IF(AND(ISNUMBER(IndividualCapacity[[#This Row],[Capacity]]),ISNUMBER(IndividualCapacity[[#This Row],[Assigned]])),MIN(IndividualCapacity[[#This Row],[Capacity]],IndividualCapacity[[#This Row],[Assigned]]),"")</f>
        <v/>
      </c>
      <c r="H32" s="37" t="str">
        <f ca="1">IF(AND(ISNUMBER(IndividualCapacity[[#This Row],[Assigned]]),ISNUMBER(IndividualCapacity[[#This Row],[Capacity]])),IF(IndividualCapacity[[#This Row],[Assigned]]&gt;=IndividualCapacity[[#This Row],[Capacity]], IndividualCapacity[[#This Row],[Assigned]]-IndividualCapacity[[#This Row],[Capacity]], 0),"")</f>
        <v/>
      </c>
      <c r="I32" s="36" t="str">
        <f ca="1">IF(AND(ISNUMBER(IndividualCapacity[[#This Row],[Assigned]]),ISNUMBER(IndividualCapacity[[#This Row],[Capacity]])),IF(IndividualCapacity[[#This Row],[Assigned]]&lt;=IndividualCapacity[[#This Row],[Capacity]], IndividualCapacity[[#This Row],[Capacity]]-IndividualCapacity[[#This Row],[Assigned]], 0),"")</f>
        <v/>
      </c>
    </row>
    <row r="35" spans="2:9" x14ac:dyDescent="0.25">
      <c r="B35" s="73"/>
      <c r="C35" s="73"/>
      <c r="D35" s="73"/>
      <c r="E35" s="73"/>
      <c r="F35" s="73"/>
      <c r="G35" s="73"/>
      <c r="H35" s="73"/>
      <c r="I35" s="73"/>
    </row>
    <row r="36" spans="2:9" x14ac:dyDescent="0.25">
      <c r="B36" s="73"/>
      <c r="C36" s="73"/>
      <c r="D36" s="73"/>
      <c r="E36" s="73"/>
      <c r="F36" s="73"/>
      <c r="G36" s="73"/>
      <c r="H36" s="73"/>
      <c r="I36" s="73"/>
    </row>
    <row r="37" spans="2:9" x14ac:dyDescent="0.25">
      <c r="B37" s="73"/>
      <c r="C37" s="73"/>
      <c r="D37" s="73"/>
      <c r="E37" s="73"/>
      <c r="F37" s="73"/>
      <c r="G37" s="73"/>
      <c r="H37" s="73"/>
      <c r="I37" s="73"/>
    </row>
    <row r="38" spans="2:9" x14ac:dyDescent="0.25">
      <c r="B38" s="73"/>
      <c r="C38" s="73"/>
      <c r="D38" s="73"/>
      <c r="E38" s="73"/>
      <c r="F38" s="73"/>
      <c r="G38" s="73"/>
      <c r="H38" s="73"/>
      <c r="I38" s="73"/>
    </row>
  </sheetData>
  <mergeCells count="4">
    <mergeCell ref="A2:I2"/>
    <mergeCell ref="A3:I3"/>
    <mergeCell ref="B35:H38"/>
    <mergeCell ref="I35:I38"/>
  </mergeCells>
  <conditionalFormatting sqref="I29:I32 C12">
    <cfRule type="cellIs" dxfId="23" priority="14" stopIfTrue="1" operator="equal">
      <formula>""</formula>
    </cfRule>
    <cfRule type="cellIs" dxfId="22" priority="17" operator="greaterThan">
      <formula>0</formula>
    </cfRule>
  </conditionalFormatting>
  <conditionalFormatting sqref="H29:H32 C11">
    <cfRule type="cellIs" dxfId="21" priority="15" stopIfTrue="1" operator="equal">
      <formula>""</formula>
    </cfRule>
    <cfRule type="cellIs" dxfId="20" priority="18" operator="greaterThan">
      <formula>0</formula>
    </cfRule>
  </conditionalFormatting>
  <conditionalFormatting sqref="H29:I32 C11:C12">
    <cfRule type="cellIs" dxfId="19" priority="13" stopIfTrue="1" operator="equal">
      <formula>0</formula>
    </cfRule>
  </conditionalFormatting>
  <dataValidations count="2">
    <dataValidation type="list" allowBlank="1" showInputMessage="1" sqref="B29:B32">
      <formula1>UserList</formula1>
    </dataValidation>
    <dataValidation type="decimal" operator="greaterThanOrEqual" allowBlank="1" showInputMessage="1" sqref="C29:C32">
      <formula1>0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urndown"/>
  <dimension ref="A1:V1430"/>
  <sheetViews>
    <sheetView showGridLines="0" zoomScaleNormal="100" workbookViewId="0">
      <selection activeCell="C7" sqref="C7"/>
    </sheetView>
  </sheetViews>
  <sheetFormatPr defaultRowHeight="15" x14ac:dyDescent="0.25"/>
  <cols>
    <col min="1" max="1" width="4.7109375" style="5" customWidth="1"/>
    <col min="2" max="2" width="15.5703125" style="5" bestFit="1" customWidth="1"/>
    <col min="3" max="5" width="14.7109375" style="5" customWidth="1"/>
    <col min="6" max="8" width="14.7109375" customWidth="1"/>
    <col min="9" max="9" width="14.7109375" style="5" customWidth="1"/>
    <col min="10" max="11" width="14.7109375" customWidth="1"/>
    <col min="12" max="16" width="14.7109375" style="5" customWidth="1"/>
    <col min="17" max="20" width="14" style="5" customWidth="1"/>
    <col min="21" max="16384" width="9.140625" style="5"/>
  </cols>
  <sheetData>
    <row r="1" spans="1:22" s="14" customFormat="1" ht="30" customHeight="1" x14ac:dyDescent="0.25">
      <c r="A1" s="14" t="s">
        <v>0</v>
      </c>
      <c r="D1" s="15"/>
      <c r="E1" s="15"/>
      <c r="F1" s="16"/>
      <c r="G1" s="16"/>
      <c r="H1" s="16"/>
      <c r="I1" s="16"/>
    </row>
    <row r="2" spans="1:22" s="18" customFormat="1" ht="15" customHeight="1" x14ac:dyDescent="0.25">
      <c r="A2" s="71" t="s">
        <v>44</v>
      </c>
      <c r="B2" s="71"/>
      <c r="C2" s="71"/>
      <c r="D2" s="71"/>
      <c r="E2" s="71"/>
      <c r="F2" s="71"/>
      <c r="G2" s="71"/>
      <c r="H2" s="71"/>
      <c r="I2" s="71"/>
      <c r="J2" s="71"/>
      <c r="K2" s="54"/>
      <c r="L2" s="54"/>
      <c r="M2" s="54"/>
      <c r="N2" s="54"/>
      <c r="O2" s="54"/>
      <c r="P2" s="54"/>
      <c r="Q2" s="54"/>
      <c r="R2" s="17"/>
      <c r="S2" s="17"/>
    </row>
    <row r="3" spans="1:22" s="18" customFormat="1" ht="74.25" customHeight="1" x14ac:dyDescent="0.25">
      <c r="A3" s="71" t="s">
        <v>100</v>
      </c>
      <c r="B3" s="71"/>
      <c r="C3" s="71"/>
      <c r="D3" s="71"/>
      <c r="E3" s="71"/>
      <c r="F3" s="71"/>
      <c r="G3" s="71"/>
      <c r="H3" s="71"/>
      <c r="I3" s="71"/>
      <c r="J3" s="71"/>
      <c r="K3" s="54"/>
      <c r="L3" s="54"/>
      <c r="M3" s="54"/>
      <c r="N3" s="54"/>
      <c r="O3" s="54"/>
      <c r="P3" s="54"/>
      <c r="Q3" s="54"/>
      <c r="R3" s="17"/>
      <c r="S3" s="17"/>
    </row>
    <row r="4" spans="1:22" customFormat="1" x14ac:dyDescent="0.25">
      <c r="B4" s="56" t="str">
        <f ca="1">IF(1, IF(ISERR(MacrosEnabled()), LocalizableStrings!A13, ""), TODAY())</f>
        <v/>
      </c>
    </row>
    <row r="5" spans="1:22" s="29" customFormat="1" x14ac:dyDescent="0.25">
      <c r="B5" s="56"/>
    </row>
    <row r="6" spans="1:22" s="3" customFormat="1" ht="12.75" customHeight="1" x14ac:dyDescent="0.25">
      <c r="A6" s="2"/>
      <c r="B6" s="33" t="s">
        <v>94</v>
      </c>
      <c r="C6" s="33"/>
      <c r="F6" s="11"/>
      <c r="G6" s="11"/>
      <c r="H6" s="11"/>
      <c r="K6" s="11"/>
    </row>
    <row r="7" spans="1:22" s="3" customFormat="1" ht="12.75" customHeight="1" x14ac:dyDescent="0.25">
      <c r="A7" s="2"/>
      <c r="B7" s="49" t="s">
        <v>43</v>
      </c>
      <c r="C7" s="34"/>
      <c r="F7" s="11"/>
      <c r="G7" s="11"/>
      <c r="H7" s="11"/>
      <c r="K7" s="11"/>
    </row>
    <row r="8" spans="1:22" customFormat="1" ht="12.75" customHeight="1" x14ac:dyDescent="0.25">
      <c r="C8" s="39"/>
    </row>
    <row r="9" spans="1:22" ht="13.5" customHeight="1" x14ac:dyDescent="0.25">
      <c r="A9"/>
      <c r="B9" s="11"/>
      <c r="C9" s="11"/>
      <c r="O9"/>
      <c r="P9"/>
      <c r="Q9"/>
      <c r="R9"/>
      <c r="S9"/>
      <c r="T9"/>
      <c r="U9"/>
      <c r="V9"/>
    </row>
    <row r="10" spans="1:22" ht="13.5" customHeight="1" x14ac:dyDescent="0.25">
      <c r="A10"/>
      <c r="B10"/>
      <c r="C10"/>
      <c r="D10"/>
      <c r="E10"/>
      <c r="O10"/>
      <c r="P10"/>
      <c r="Q10"/>
      <c r="R10"/>
      <c r="S10"/>
      <c r="T10"/>
      <c r="U10"/>
      <c r="V10"/>
    </row>
    <row r="11" spans="1:22" ht="13.5" customHeight="1" x14ac:dyDescent="0.25">
      <c r="A11"/>
      <c r="B11"/>
      <c r="C11"/>
      <c r="D11"/>
      <c r="E11"/>
      <c r="O11"/>
      <c r="P11"/>
      <c r="Q11"/>
      <c r="R11"/>
      <c r="S11"/>
      <c r="T11"/>
      <c r="U11"/>
      <c r="V11"/>
    </row>
    <row r="12" spans="1:22" ht="13.5" customHeight="1" x14ac:dyDescent="0.25">
      <c r="A12"/>
      <c r="B12"/>
      <c r="C12"/>
      <c r="D12"/>
      <c r="E12"/>
      <c r="O12"/>
      <c r="P12"/>
      <c r="Q12"/>
      <c r="R12"/>
      <c r="S12"/>
      <c r="T12"/>
      <c r="U12"/>
      <c r="V12"/>
    </row>
    <row r="13" spans="1:22" ht="13.5" customHeight="1" x14ac:dyDescent="0.25">
      <c r="A13"/>
      <c r="B13"/>
      <c r="C13"/>
      <c r="D13" s="6"/>
      <c r="E13" s="7"/>
      <c r="O13"/>
      <c r="P13"/>
      <c r="Q13"/>
      <c r="R13"/>
      <c r="S13"/>
      <c r="T13"/>
      <c r="U13"/>
      <c r="V13"/>
    </row>
    <row r="14" spans="1:22" ht="13.5" customHeight="1" x14ac:dyDescent="0.25">
      <c r="A14" s="4"/>
      <c r="B14" s="4"/>
      <c r="C14" s="4"/>
      <c r="D14" s="6"/>
      <c r="E14" s="7"/>
      <c r="P14"/>
      <c r="Q14"/>
      <c r="R14"/>
      <c r="S14"/>
    </row>
    <row r="15" spans="1:22" ht="13.5" customHeight="1" x14ac:dyDescent="0.25">
      <c r="A15" s="9"/>
      <c r="B15" s="8"/>
      <c r="C15" s="4"/>
      <c r="D15"/>
      <c r="E15"/>
      <c r="P15"/>
      <c r="Q15"/>
      <c r="R15"/>
      <c r="S15"/>
    </row>
    <row r="16" spans="1:22" ht="13.5" customHeight="1" x14ac:dyDescent="0.25">
      <c r="A16" s="9"/>
      <c r="B16"/>
      <c r="C16"/>
      <c r="D16"/>
      <c r="E16"/>
      <c r="P16"/>
      <c r="Q16"/>
      <c r="R16"/>
      <c r="S16"/>
    </row>
    <row r="17" spans="1:19" ht="13.5" customHeight="1" x14ac:dyDescent="0.25">
      <c r="A17" s="4"/>
      <c r="B17" s="6"/>
      <c r="C17" s="7"/>
      <c r="D17"/>
      <c r="E17"/>
      <c r="P17"/>
      <c r="Q17"/>
      <c r="R17"/>
      <c r="S17"/>
    </row>
    <row r="18" spans="1:19" ht="13.5" customHeight="1" x14ac:dyDescent="0.25">
      <c r="A18" s="4"/>
      <c r="B18" s="10"/>
      <c r="C18" s="7"/>
      <c r="D18"/>
      <c r="E18"/>
      <c r="P18"/>
      <c r="Q18"/>
      <c r="R18"/>
      <c r="S18"/>
    </row>
    <row r="19" spans="1:19" ht="13.5" customHeight="1" x14ac:dyDescent="0.25">
      <c r="A19" s="4"/>
      <c r="B19" s="10"/>
      <c r="C19" s="7"/>
      <c r="D19"/>
      <c r="E19"/>
      <c r="K19" s="11"/>
      <c r="P19"/>
      <c r="Q19"/>
      <c r="R19"/>
      <c r="S19"/>
    </row>
    <row r="20" spans="1:19" ht="13.5" customHeight="1" x14ac:dyDescent="0.25">
      <c r="A20" s="4"/>
      <c r="B20" s="10"/>
      <c r="C20" s="7"/>
      <c r="D20"/>
      <c r="E20"/>
      <c r="K20" s="11"/>
      <c r="P20"/>
      <c r="Q20"/>
      <c r="R20"/>
      <c r="S20"/>
    </row>
    <row r="21" spans="1:19" ht="13.5" customHeight="1" x14ac:dyDescent="0.25">
      <c r="A21" s="4"/>
      <c r="B21" s="10"/>
      <c r="C21" s="7"/>
      <c r="D21"/>
      <c r="E21"/>
      <c r="K21" s="11"/>
      <c r="P21"/>
      <c r="Q21"/>
      <c r="R21"/>
      <c r="S21"/>
    </row>
    <row r="22" spans="1:19" ht="13.5" customHeight="1" x14ac:dyDescent="0.25">
      <c r="A22" s="4"/>
      <c r="B22" s="10"/>
      <c r="C22" s="7"/>
      <c r="D22"/>
      <c r="E22"/>
      <c r="K22" s="11"/>
      <c r="P22"/>
      <c r="Q22"/>
      <c r="R22"/>
      <c r="S22"/>
    </row>
    <row r="23" spans="1:19" ht="13.5" customHeight="1" x14ac:dyDescent="0.25">
      <c r="A23" s="4"/>
      <c r="B23" s="10"/>
      <c r="C23" s="7"/>
      <c r="D23"/>
      <c r="E23"/>
      <c r="K23" s="11"/>
      <c r="P23"/>
      <c r="Q23"/>
      <c r="R23"/>
      <c r="S23"/>
    </row>
    <row r="24" spans="1:19" ht="13.5" customHeight="1" x14ac:dyDescent="0.25">
      <c r="A24" s="4"/>
      <c r="B24" s="10"/>
      <c r="C24" s="7"/>
      <c r="D24"/>
      <c r="E24"/>
      <c r="K24" s="11"/>
      <c r="P24"/>
      <c r="Q24"/>
      <c r="R24"/>
      <c r="S24"/>
    </row>
    <row r="25" spans="1:19" ht="13.5" customHeight="1" x14ac:dyDescent="0.25">
      <c r="A25" s="4"/>
      <c r="B25" s="6"/>
      <c r="C25" s="7"/>
      <c r="D25"/>
      <c r="E25"/>
      <c r="K25" s="11"/>
      <c r="P25"/>
      <c r="Q25"/>
      <c r="R25"/>
      <c r="S25"/>
    </row>
    <row r="26" spans="1:19" ht="13.5" customHeight="1" x14ac:dyDescent="0.25">
      <c r="A26" s="4"/>
      <c r="B26"/>
      <c r="C26"/>
      <c r="D26"/>
      <c r="E26"/>
      <c r="K26" s="11"/>
      <c r="P26"/>
      <c r="Q26"/>
      <c r="R26"/>
      <c r="S26"/>
    </row>
    <row r="27" spans="1:19" ht="13.5" customHeight="1" x14ac:dyDescent="0.25">
      <c r="A27" s="4"/>
      <c r="B27"/>
      <c r="C27"/>
      <c r="D27"/>
      <c r="E27"/>
      <c r="K27" s="11"/>
      <c r="P27"/>
      <c r="Q27"/>
      <c r="R27"/>
      <c r="S27"/>
    </row>
    <row r="28" spans="1:19" ht="13.5" customHeight="1" x14ac:dyDescent="0.25">
      <c r="A28" s="4"/>
      <c r="B28"/>
      <c r="C28"/>
      <c r="D28"/>
      <c r="E28"/>
      <c r="K28" s="11"/>
      <c r="P28"/>
      <c r="Q28"/>
      <c r="R28"/>
      <c r="S28"/>
    </row>
    <row r="29" spans="1:19" ht="13.5" customHeight="1" x14ac:dyDescent="0.25">
      <c r="A29" s="4"/>
      <c r="B29"/>
      <c r="C29"/>
      <c r="D29"/>
      <c r="E29"/>
      <c r="K29" s="11"/>
      <c r="P29"/>
      <c r="Q29"/>
      <c r="R29"/>
      <c r="S29"/>
    </row>
    <row r="30" spans="1:19" ht="13.5" customHeight="1" x14ac:dyDescent="0.25">
      <c r="A30" s="4"/>
      <c r="B30"/>
      <c r="C30"/>
      <c r="D30"/>
      <c r="E30"/>
      <c r="K30" s="11"/>
      <c r="P30"/>
      <c r="Q30"/>
      <c r="R30"/>
      <c r="S30"/>
    </row>
    <row r="31" spans="1:19" ht="13.5" customHeight="1" x14ac:dyDescent="0.25">
      <c r="A31" s="4"/>
      <c r="B31"/>
      <c r="C31"/>
      <c r="D31"/>
      <c r="E31"/>
      <c r="K31" s="11"/>
      <c r="P31"/>
      <c r="Q31"/>
      <c r="R31"/>
      <c r="S31"/>
    </row>
    <row r="32" spans="1:19" ht="13.5" customHeight="1" x14ac:dyDescent="0.25">
      <c r="A32" s="4"/>
      <c r="B32"/>
      <c r="C32"/>
      <c r="D32"/>
      <c r="E32"/>
      <c r="K32" s="11"/>
      <c r="P32"/>
      <c r="Q32"/>
      <c r="R32"/>
      <c r="S32"/>
    </row>
    <row r="33" spans="1:19" ht="13.5" customHeight="1" x14ac:dyDescent="0.25">
      <c r="A33" s="4"/>
      <c r="B33" s="11"/>
      <c r="C33" s="11"/>
      <c r="D33" s="11"/>
      <c r="E33" s="11"/>
      <c r="F33" s="11"/>
      <c r="G33" s="11"/>
      <c r="H33" s="11"/>
      <c r="J33" s="11"/>
      <c r="K33" s="11"/>
      <c r="P33" s="11"/>
      <c r="Q33" s="11"/>
      <c r="R33" s="11"/>
      <c r="S33" s="11"/>
    </row>
    <row r="34" spans="1:19" x14ac:dyDescent="0.25">
      <c r="A34" s="4"/>
      <c r="D34"/>
      <c r="E34"/>
      <c r="K34" s="11"/>
      <c r="P34"/>
      <c r="Q34"/>
      <c r="R34"/>
      <c r="S34"/>
    </row>
    <row r="35" spans="1:19" x14ac:dyDescent="0.25">
      <c r="A35" s="4"/>
      <c r="D35"/>
      <c r="E35"/>
      <c r="H35" s="5"/>
      <c r="K35" s="11"/>
      <c r="P35"/>
      <c r="Q35"/>
      <c r="R35"/>
      <c r="S35"/>
    </row>
    <row r="36" spans="1:19" x14ac:dyDescent="0.25">
      <c r="A36" s="4"/>
      <c r="D36"/>
      <c r="E36"/>
      <c r="H36" s="5"/>
      <c r="K36" s="11"/>
      <c r="P36"/>
      <c r="Q36"/>
      <c r="R36"/>
      <c r="S36"/>
    </row>
    <row r="37" spans="1:19" ht="12" customHeight="1" x14ac:dyDescent="0.25">
      <c r="A37" s="4"/>
      <c r="B37"/>
      <c r="C37"/>
      <c r="D37"/>
      <c r="E37"/>
      <c r="K37" s="11"/>
      <c r="P37"/>
      <c r="Q37"/>
      <c r="R37"/>
      <c r="S37"/>
    </row>
    <row r="38" spans="1:19" ht="12" customHeight="1" x14ac:dyDescent="0.25">
      <c r="A38" s="4"/>
      <c r="B38"/>
      <c r="C38"/>
      <c r="D38"/>
      <c r="E38"/>
      <c r="K38" s="11"/>
    </row>
    <row r="39" spans="1:19" ht="12" customHeight="1" x14ac:dyDescent="0.25">
      <c r="A39" s="4"/>
      <c r="B39" s="73"/>
      <c r="C39" s="73"/>
      <c r="D39" s="73"/>
      <c r="E39" s="73"/>
      <c r="F39" s="73"/>
      <c r="G39" s="73"/>
      <c r="H39" s="73"/>
      <c r="K39" s="11"/>
    </row>
    <row r="40" spans="1:19" ht="12" customHeight="1" x14ac:dyDescent="0.25">
      <c r="A40" s="4"/>
      <c r="B40" s="73"/>
      <c r="C40" s="73"/>
      <c r="D40" s="73"/>
      <c r="E40" s="73"/>
      <c r="F40" s="73"/>
      <c r="G40" s="73"/>
      <c r="H40" s="73"/>
      <c r="K40" s="11"/>
    </row>
    <row r="41" spans="1:19" ht="13.5" customHeight="1" x14ac:dyDescent="0.25">
      <c r="A41" s="4"/>
      <c r="B41" s="73"/>
      <c r="C41" s="73"/>
      <c r="D41" s="73"/>
      <c r="E41" s="73"/>
      <c r="F41" s="73"/>
      <c r="G41" s="73"/>
      <c r="H41" s="73"/>
      <c r="K41" s="11"/>
    </row>
    <row r="42" spans="1:19" ht="13.5" customHeight="1" x14ac:dyDescent="0.25">
      <c r="A42" s="4"/>
      <c r="B42" s="73"/>
      <c r="C42" s="73"/>
      <c r="D42" s="73"/>
      <c r="E42" s="73"/>
      <c r="F42" s="73"/>
      <c r="G42" s="73"/>
      <c r="H42" s="73"/>
      <c r="K42" s="11"/>
    </row>
    <row r="43" spans="1:19" ht="13.5" customHeight="1" x14ac:dyDescent="0.25">
      <c r="A43" s="4"/>
      <c r="B43"/>
      <c r="C43"/>
      <c r="D43"/>
      <c r="E43"/>
      <c r="K43" s="11"/>
    </row>
    <row r="44" spans="1:19" ht="13.5" customHeight="1" x14ac:dyDescent="0.25">
      <c r="A44" s="4"/>
      <c r="B44" s="11"/>
      <c r="C44"/>
      <c r="D44"/>
      <c r="E44"/>
      <c r="K44" s="11"/>
    </row>
    <row r="45" spans="1:19" ht="13.5" customHeight="1" x14ac:dyDescent="0.25">
      <c r="A45" s="4"/>
      <c r="B45"/>
      <c r="C45"/>
      <c r="D45"/>
      <c r="E45"/>
      <c r="K45" s="11"/>
    </row>
    <row r="46" spans="1:19" ht="13.5" customHeight="1" x14ac:dyDescent="0.25">
      <c r="A46" s="4"/>
      <c r="B46"/>
      <c r="C46"/>
      <c r="D46"/>
      <c r="E46"/>
      <c r="K46" s="11"/>
    </row>
    <row r="47" spans="1:19" ht="13.5" customHeight="1" x14ac:dyDescent="0.25">
      <c r="A47" s="4"/>
      <c r="B47"/>
      <c r="C47"/>
      <c r="D47"/>
      <c r="E47"/>
      <c r="K47" s="11"/>
    </row>
    <row r="48" spans="1:19" ht="13.5" customHeight="1" x14ac:dyDescent="0.25">
      <c r="A48" s="4"/>
      <c r="B48"/>
      <c r="C48"/>
      <c r="D48"/>
      <c r="E48"/>
      <c r="K48" s="11"/>
    </row>
    <row r="49" spans="1:11" ht="13.5" customHeight="1" x14ac:dyDescent="0.25">
      <c r="A49" s="4"/>
      <c r="B49"/>
      <c r="C49"/>
      <c r="D49"/>
      <c r="E49"/>
      <c r="K49" s="11"/>
    </row>
    <row r="50" spans="1:11" ht="13.5" customHeight="1" x14ac:dyDescent="0.25">
      <c r="A50" s="4"/>
      <c r="B50"/>
      <c r="C50"/>
      <c r="D50"/>
      <c r="E50"/>
      <c r="I50"/>
    </row>
    <row r="51" spans="1:11" ht="13.5" customHeight="1" x14ac:dyDescent="0.25">
      <c r="B51"/>
      <c r="C51"/>
      <c r="D51"/>
      <c r="E51"/>
      <c r="I51"/>
    </row>
    <row r="52" spans="1:11" ht="13.5" customHeight="1" x14ac:dyDescent="0.25">
      <c r="B52"/>
      <c r="C52"/>
      <c r="D52"/>
      <c r="E52"/>
      <c r="I52"/>
    </row>
    <row r="53" spans="1:11" ht="13.5" customHeight="1" x14ac:dyDescent="0.25">
      <c r="B53"/>
      <c r="C53"/>
      <c r="D53"/>
      <c r="E53"/>
      <c r="I53"/>
    </row>
    <row r="54" spans="1:11" ht="13.5" customHeight="1" x14ac:dyDescent="0.25">
      <c r="B54"/>
      <c r="C54"/>
      <c r="D54"/>
      <c r="E54"/>
      <c r="I54"/>
    </row>
    <row r="55" spans="1:11" ht="13.5" customHeight="1" x14ac:dyDescent="0.25">
      <c r="B55"/>
      <c r="C55"/>
      <c r="D55"/>
      <c r="E55"/>
      <c r="I55"/>
    </row>
    <row r="56" spans="1:11" ht="13.5" customHeight="1" x14ac:dyDescent="0.25">
      <c r="B56"/>
      <c r="C56"/>
      <c r="D56"/>
      <c r="E56"/>
      <c r="I56"/>
    </row>
    <row r="57" spans="1:11" ht="13.5" customHeight="1" x14ac:dyDescent="0.25">
      <c r="D57"/>
      <c r="E57"/>
      <c r="I57"/>
    </row>
    <row r="58" spans="1:11" ht="13.5" customHeight="1" x14ac:dyDescent="0.25">
      <c r="D58"/>
      <c r="E58"/>
      <c r="I58"/>
    </row>
    <row r="59" spans="1:11" ht="13.5" customHeight="1" x14ac:dyDescent="0.25">
      <c r="D59"/>
      <c r="E59"/>
      <c r="I59"/>
    </row>
    <row r="60" spans="1:11" ht="13.5" customHeight="1" x14ac:dyDescent="0.25">
      <c r="D60"/>
      <c r="E60"/>
      <c r="I60"/>
    </row>
    <row r="61" spans="1:11" ht="13.5" customHeight="1" x14ac:dyDescent="0.25">
      <c r="D61"/>
      <c r="E61"/>
      <c r="I61"/>
    </row>
    <row r="62" spans="1:11" ht="13.5" customHeight="1" x14ac:dyDescent="0.25">
      <c r="D62"/>
      <c r="E62"/>
      <c r="I62"/>
    </row>
    <row r="63" spans="1:11" ht="13.5" customHeight="1" x14ac:dyDescent="0.25">
      <c r="D63"/>
      <c r="E63"/>
      <c r="I63"/>
    </row>
    <row r="64" spans="1:11" ht="13.5" customHeight="1" x14ac:dyDescent="0.25">
      <c r="D64"/>
      <c r="E64"/>
      <c r="I64"/>
    </row>
    <row r="65" spans="4:9" ht="13.5" customHeight="1" x14ac:dyDescent="0.25">
      <c r="D65"/>
      <c r="E65"/>
      <c r="I65"/>
    </row>
    <row r="66" spans="4:9" ht="13.5" customHeight="1" x14ac:dyDescent="0.25">
      <c r="D66"/>
      <c r="E66"/>
      <c r="I66"/>
    </row>
    <row r="67" spans="4:9" ht="13.5" customHeight="1" x14ac:dyDescent="0.25">
      <c r="D67"/>
      <c r="E67"/>
      <c r="I67"/>
    </row>
    <row r="68" spans="4:9" ht="13.5" customHeight="1" x14ac:dyDescent="0.25">
      <c r="D68"/>
      <c r="E68"/>
      <c r="I68"/>
    </row>
    <row r="69" spans="4:9" ht="13.5" customHeight="1" x14ac:dyDescent="0.25">
      <c r="D69"/>
      <c r="E69"/>
      <c r="I69"/>
    </row>
    <row r="70" spans="4:9" ht="13.5" customHeight="1" x14ac:dyDescent="0.25">
      <c r="D70"/>
      <c r="E70"/>
      <c r="I70"/>
    </row>
    <row r="71" spans="4:9" ht="13.5" customHeight="1" x14ac:dyDescent="0.25">
      <c r="D71"/>
      <c r="E71"/>
      <c r="I71"/>
    </row>
    <row r="72" spans="4:9" ht="13.5" customHeight="1" x14ac:dyDescent="0.25">
      <c r="D72"/>
      <c r="E72"/>
      <c r="I72"/>
    </row>
    <row r="73" spans="4:9" ht="13.5" customHeight="1" x14ac:dyDescent="0.25">
      <c r="D73"/>
      <c r="E73"/>
      <c r="I73"/>
    </row>
    <row r="74" spans="4:9" ht="13.5" customHeight="1" x14ac:dyDescent="0.25">
      <c r="D74"/>
      <c r="E74"/>
      <c r="I74"/>
    </row>
    <row r="75" spans="4:9" ht="13.5" customHeight="1" x14ac:dyDescent="0.25">
      <c r="D75"/>
      <c r="E75"/>
      <c r="I75"/>
    </row>
    <row r="76" spans="4:9" ht="13.5" customHeight="1" x14ac:dyDescent="0.25">
      <c r="D76"/>
      <c r="E76"/>
      <c r="I76"/>
    </row>
    <row r="77" spans="4:9" ht="13.5" customHeight="1" x14ac:dyDescent="0.25">
      <c r="D77"/>
      <c r="E77"/>
      <c r="I77"/>
    </row>
    <row r="78" spans="4:9" ht="13.5" customHeight="1" x14ac:dyDescent="0.25">
      <c r="D78"/>
      <c r="E78"/>
      <c r="I78"/>
    </row>
    <row r="79" spans="4:9" ht="13.5" customHeight="1" x14ac:dyDescent="0.25">
      <c r="D79"/>
      <c r="E79"/>
      <c r="I79"/>
    </row>
    <row r="80" spans="4:9" ht="13.5" customHeight="1" x14ac:dyDescent="0.25">
      <c r="D80"/>
      <c r="E80"/>
      <c r="I80"/>
    </row>
    <row r="81" spans="4:9" ht="13.5" customHeight="1" x14ac:dyDescent="0.25">
      <c r="D81"/>
      <c r="E81"/>
      <c r="I81"/>
    </row>
    <row r="82" spans="4:9" ht="13.5" customHeight="1" x14ac:dyDescent="0.25">
      <c r="D82"/>
      <c r="E82"/>
      <c r="I82"/>
    </row>
    <row r="83" spans="4:9" ht="13.5" customHeight="1" x14ac:dyDescent="0.25">
      <c r="D83"/>
      <c r="E83"/>
      <c r="I83"/>
    </row>
    <row r="84" spans="4:9" ht="13.5" customHeight="1" x14ac:dyDescent="0.25">
      <c r="D84"/>
      <c r="E84"/>
      <c r="I84"/>
    </row>
    <row r="85" spans="4:9" ht="13.5" customHeight="1" x14ac:dyDescent="0.25">
      <c r="D85"/>
      <c r="E85"/>
      <c r="I85"/>
    </row>
    <row r="86" spans="4:9" ht="13.5" customHeight="1" x14ac:dyDescent="0.25">
      <c r="D86"/>
      <c r="E86"/>
      <c r="I86"/>
    </row>
    <row r="87" spans="4:9" ht="13.5" customHeight="1" x14ac:dyDescent="0.25">
      <c r="D87"/>
      <c r="E87"/>
      <c r="I87"/>
    </row>
    <row r="88" spans="4:9" ht="13.5" customHeight="1" x14ac:dyDescent="0.25">
      <c r="D88"/>
      <c r="E88"/>
      <c r="I88"/>
    </row>
    <row r="89" spans="4:9" ht="13.5" customHeight="1" x14ac:dyDescent="0.25">
      <c r="D89"/>
      <c r="E89"/>
      <c r="I89"/>
    </row>
    <row r="90" spans="4:9" ht="13.5" customHeight="1" x14ac:dyDescent="0.25">
      <c r="D90"/>
      <c r="E90"/>
      <c r="I90"/>
    </row>
    <row r="91" spans="4:9" ht="13.5" customHeight="1" x14ac:dyDescent="0.25">
      <c r="D91"/>
      <c r="E91"/>
      <c r="I91"/>
    </row>
    <row r="92" spans="4:9" ht="13.5" customHeight="1" x14ac:dyDescent="0.25">
      <c r="D92"/>
      <c r="E92"/>
      <c r="I92"/>
    </row>
    <row r="93" spans="4:9" ht="13.5" customHeight="1" x14ac:dyDescent="0.25">
      <c r="D93"/>
      <c r="E93"/>
      <c r="I93"/>
    </row>
    <row r="94" spans="4:9" ht="13.5" customHeight="1" x14ac:dyDescent="0.25">
      <c r="D94"/>
      <c r="E94"/>
      <c r="I94"/>
    </row>
    <row r="95" spans="4:9" ht="13.5" customHeight="1" x14ac:dyDescent="0.25">
      <c r="D95"/>
      <c r="E95"/>
      <c r="I95"/>
    </row>
    <row r="96" spans="4:9" ht="13.5" customHeight="1" x14ac:dyDescent="0.25">
      <c r="D96"/>
      <c r="E96"/>
      <c r="I96"/>
    </row>
    <row r="97" spans="4:9" ht="13.5" customHeight="1" x14ac:dyDescent="0.25">
      <c r="D97"/>
      <c r="E97"/>
      <c r="I97"/>
    </row>
    <row r="98" spans="4:9" ht="13.5" customHeight="1" x14ac:dyDescent="0.25">
      <c r="D98"/>
      <c r="E98"/>
      <c r="I98"/>
    </row>
    <row r="99" spans="4:9" ht="13.5" customHeight="1" x14ac:dyDescent="0.25">
      <c r="D99"/>
      <c r="E99"/>
      <c r="I99"/>
    </row>
    <row r="100" spans="4:9" ht="13.5" customHeight="1" x14ac:dyDescent="0.25">
      <c r="D100"/>
      <c r="E100"/>
      <c r="I100"/>
    </row>
    <row r="101" spans="4:9" ht="13.5" customHeight="1" x14ac:dyDescent="0.25">
      <c r="D101"/>
      <c r="E101"/>
      <c r="I101"/>
    </row>
    <row r="102" spans="4:9" ht="13.5" customHeight="1" x14ac:dyDescent="0.25">
      <c r="D102"/>
      <c r="E102"/>
      <c r="I102"/>
    </row>
    <row r="103" spans="4:9" ht="13.5" customHeight="1" x14ac:dyDescent="0.25">
      <c r="D103"/>
      <c r="E103"/>
      <c r="I103"/>
    </row>
    <row r="104" spans="4:9" ht="13.5" customHeight="1" x14ac:dyDescent="0.25">
      <c r="D104"/>
      <c r="E104"/>
      <c r="I104"/>
    </row>
    <row r="105" spans="4:9" x14ac:dyDescent="0.25">
      <c r="D105"/>
      <c r="E105"/>
      <c r="I105"/>
    </row>
    <row r="106" spans="4:9" x14ac:dyDescent="0.25">
      <c r="D106"/>
      <c r="E106"/>
      <c r="I106"/>
    </row>
    <row r="107" spans="4:9" x14ac:dyDescent="0.25">
      <c r="D107"/>
      <c r="E107"/>
      <c r="I107"/>
    </row>
    <row r="108" spans="4:9" x14ac:dyDescent="0.25">
      <c r="D108"/>
      <c r="E108"/>
      <c r="I108"/>
    </row>
    <row r="109" spans="4:9" x14ac:dyDescent="0.25">
      <c r="D109"/>
      <c r="E109"/>
      <c r="I109"/>
    </row>
    <row r="110" spans="4:9" x14ac:dyDescent="0.25">
      <c r="D110"/>
      <c r="E110"/>
      <c r="I110"/>
    </row>
    <row r="111" spans="4:9" x14ac:dyDescent="0.25">
      <c r="D111"/>
      <c r="E111"/>
      <c r="I111"/>
    </row>
    <row r="112" spans="4:9" x14ac:dyDescent="0.25">
      <c r="D112"/>
      <c r="E112"/>
      <c r="I112"/>
    </row>
    <row r="113" spans="4:9" x14ac:dyDescent="0.25">
      <c r="D113"/>
      <c r="E113"/>
      <c r="I113"/>
    </row>
    <row r="114" spans="4:9" x14ac:dyDescent="0.25">
      <c r="D114"/>
      <c r="E114"/>
      <c r="I114"/>
    </row>
    <row r="115" spans="4:9" x14ac:dyDescent="0.25">
      <c r="D115"/>
      <c r="E115"/>
      <c r="I115"/>
    </row>
    <row r="116" spans="4:9" x14ac:dyDescent="0.25">
      <c r="D116"/>
      <c r="E116"/>
      <c r="I116"/>
    </row>
    <row r="117" spans="4:9" x14ac:dyDescent="0.25">
      <c r="D117"/>
      <c r="E117"/>
      <c r="I117"/>
    </row>
    <row r="118" spans="4:9" x14ac:dyDescent="0.25">
      <c r="D118"/>
      <c r="E118"/>
      <c r="I118"/>
    </row>
    <row r="119" spans="4:9" x14ac:dyDescent="0.25">
      <c r="D119"/>
      <c r="E119"/>
      <c r="I119"/>
    </row>
    <row r="120" spans="4:9" x14ac:dyDescent="0.25">
      <c r="D120"/>
      <c r="E120"/>
      <c r="I120"/>
    </row>
    <row r="121" spans="4:9" x14ac:dyDescent="0.25">
      <c r="D121"/>
      <c r="E121"/>
      <c r="I121"/>
    </row>
    <row r="122" spans="4:9" x14ac:dyDescent="0.25">
      <c r="D122"/>
      <c r="E122"/>
      <c r="I122"/>
    </row>
    <row r="123" spans="4:9" x14ac:dyDescent="0.25">
      <c r="D123"/>
      <c r="E123"/>
      <c r="I123"/>
    </row>
    <row r="124" spans="4:9" x14ac:dyDescent="0.25">
      <c r="D124"/>
      <c r="E124"/>
      <c r="I124"/>
    </row>
    <row r="125" spans="4:9" x14ac:dyDescent="0.25">
      <c r="D125"/>
      <c r="E125"/>
      <c r="I125"/>
    </row>
    <row r="126" spans="4:9" x14ac:dyDescent="0.25">
      <c r="D126"/>
      <c r="E126"/>
      <c r="I126"/>
    </row>
    <row r="127" spans="4:9" x14ac:dyDescent="0.25">
      <c r="D127"/>
      <c r="E127"/>
      <c r="I127"/>
    </row>
    <row r="128" spans="4:9" x14ac:dyDescent="0.25">
      <c r="D128"/>
      <c r="E128"/>
      <c r="I128"/>
    </row>
    <row r="129" spans="4:9" x14ac:dyDescent="0.25">
      <c r="D129"/>
      <c r="E129"/>
      <c r="I129"/>
    </row>
    <row r="130" spans="4:9" x14ac:dyDescent="0.25">
      <c r="D130"/>
      <c r="E130"/>
      <c r="I130"/>
    </row>
    <row r="131" spans="4:9" x14ac:dyDescent="0.25">
      <c r="D131"/>
      <c r="E131"/>
      <c r="I131"/>
    </row>
    <row r="132" spans="4:9" x14ac:dyDescent="0.25">
      <c r="D132"/>
      <c r="E132"/>
      <c r="I132"/>
    </row>
    <row r="133" spans="4:9" x14ac:dyDescent="0.25">
      <c r="D133"/>
      <c r="E133"/>
      <c r="I133"/>
    </row>
    <row r="134" spans="4:9" x14ac:dyDescent="0.25">
      <c r="D134"/>
      <c r="E134"/>
      <c r="I134"/>
    </row>
    <row r="135" spans="4:9" x14ac:dyDescent="0.25">
      <c r="D135"/>
      <c r="E135"/>
      <c r="I135"/>
    </row>
    <row r="136" spans="4:9" x14ac:dyDescent="0.25">
      <c r="D136"/>
      <c r="E136"/>
      <c r="I136"/>
    </row>
    <row r="137" spans="4:9" x14ac:dyDescent="0.25">
      <c r="D137"/>
      <c r="E137"/>
      <c r="I137"/>
    </row>
    <row r="138" spans="4:9" x14ac:dyDescent="0.25">
      <c r="D138"/>
      <c r="E138"/>
      <c r="I138"/>
    </row>
    <row r="139" spans="4:9" x14ac:dyDescent="0.25">
      <c r="D139"/>
      <c r="E139"/>
      <c r="I139"/>
    </row>
    <row r="140" spans="4:9" x14ac:dyDescent="0.25">
      <c r="D140"/>
      <c r="E140"/>
      <c r="I140"/>
    </row>
    <row r="141" spans="4:9" x14ac:dyDescent="0.25">
      <c r="D141"/>
      <c r="E141"/>
      <c r="I141"/>
    </row>
    <row r="142" spans="4:9" x14ac:dyDescent="0.25">
      <c r="D142"/>
      <c r="E142"/>
      <c r="I142"/>
    </row>
    <row r="143" spans="4:9" x14ac:dyDescent="0.25">
      <c r="D143"/>
      <c r="E143"/>
      <c r="I143"/>
    </row>
    <row r="144" spans="4:9" x14ac:dyDescent="0.25">
      <c r="D144"/>
      <c r="E144"/>
      <c r="I144"/>
    </row>
    <row r="145" spans="4:9" x14ac:dyDescent="0.25">
      <c r="D145"/>
      <c r="E145"/>
      <c r="I145"/>
    </row>
    <row r="146" spans="4:9" x14ac:dyDescent="0.25">
      <c r="D146"/>
      <c r="E146"/>
      <c r="I146"/>
    </row>
    <row r="147" spans="4:9" x14ac:dyDescent="0.25">
      <c r="D147"/>
      <c r="E147"/>
      <c r="I147"/>
    </row>
    <row r="148" spans="4:9" x14ac:dyDescent="0.25">
      <c r="D148"/>
      <c r="E148"/>
      <c r="I148"/>
    </row>
    <row r="149" spans="4:9" x14ac:dyDescent="0.25">
      <c r="D149"/>
      <c r="E149"/>
      <c r="I149"/>
    </row>
    <row r="150" spans="4:9" x14ac:dyDescent="0.25">
      <c r="D150"/>
      <c r="E150"/>
      <c r="I150"/>
    </row>
    <row r="151" spans="4:9" x14ac:dyDescent="0.25">
      <c r="D151"/>
      <c r="E151"/>
      <c r="I151"/>
    </row>
    <row r="152" spans="4:9" x14ac:dyDescent="0.25">
      <c r="D152"/>
      <c r="E152"/>
      <c r="I152"/>
    </row>
    <row r="153" spans="4:9" x14ac:dyDescent="0.25">
      <c r="D153"/>
      <c r="E153"/>
      <c r="I153"/>
    </row>
    <row r="154" spans="4:9" x14ac:dyDescent="0.25">
      <c r="D154"/>
      <c r="E154"/>
      <c r="I154"/>
    </row>
    <row r="155" spans="4:9" x14ac:dyDescent="0.25">
      <c r="D155"/>
      <c r="E155"/>
      <c r="I155"/>
    </row>
    <row r="156" spans="4:9" x14ac:dyDescent="0.25">
      <c r="D156"/>
      <c r="E156"/>
      <c r="I156"/>
    </row>
    <row r="157" spans="4:9" x14ac:dyDescent="0.25">
      <c r="D157"/>
      <c r="E157"/>
      <c r="I157"/>
    </row>
    <row r="158" spans="4:9" x14ac:dyDescent="0.25">
      <c r="D158"/>
      <c r="E158"/>
      <c r="I158"/>
    </row>
    <row r="159" spans="4:9" x14ac:dyDescent="0.25">
      <c r="D159"/>
      <c r="E159"/>
      <c r="I159"/>
    </row>
    <row r="160" spans="4:9" x14ac:dyDescent="0.25">
      <c r="D160"/>
      <c r="E160"/>
      <c r="I160"/>
    </row>
    <row r="161" spans="4:9" x14ac:dyDescent="0.25">
      <c r="D161"/>
      <c r="E161"/>
      <c r="I161"/>
    </row>
    <row r="162" spans="4:9" x14ac:dyDescent="0.25">
      <c r="D162"/>
      <c r="E162"/>
      <c r="I162"/>
    </row>
    <row r="163" spans="4:9" x14ac:dyDescent="0.25">
      <c r="D163"/>
      <c r="E163"/>
      <c r="I163"/>
    </row>
    <row r="164" spans="4:9" x14ac:dyDescent="0.25">
      <c r="D164"/>
      <c r="E164"/>
      <c r="I164"/>
    </row>
    <row r="165" spans="4:9" x14ac:dyDescent="0.25">
      <c r="D165"/>
      <c r="E165"/>
      <c r="I165"/>
    </row>
    <row r="166" spans="4:9" x14ac:dyDescent="0.25">
      <c r="D166"/>
      <c r="E166"/>
      <c r="I166"/>
    </row>
    <row r="167" spans="4:9" x14ac:dyDescent="0.25">
      <c r="D167"/>
      <c r="E167"/>
      <c r="I167"/>
    </row>
    <row r="168" spans="4:9" x14ac:dyDescent="0.25">
      <c r="D168"/>
      <c r="E168"/>
      <c r="I168"/>
    </row>
    <row r="169" spans="4:9" x14ac:dyDescent="0.25">
      <c r="D169"/>
      <c r="E169"/>
      <c r="I169"/>
    </row>
    <row r="170" spans="4:9" x14ac:dyDescent="0.25">
      <c r="D170"/>
      <c r="E170"/>
      <c r="I170"/>
    </row>
    <row r="171" spans="4:9" x14ac:dyDescent="0.25">
      <c r="D171"/>
      <c r="E171"/>
      <c r="I171"/>
    </row>
    <row r="172" spans="4:9" x14ac:dyDescent="0.25">
      <c r="D172"/>
      <c r="E172"/>
      <c r="I172"/>
    </row>
    <row r="173" spans="4:9" x14ac:dyDescent="0.25">
      <c r="D173"/>
      <c r="E173"/>
      <c r="I173"/>
    </row>
    <row r="174" spans="4:9" x14ac:dyDescent="0.25">
      <c r="D174"/>
      <c r="E174"/>
      <c r="I174"/>
    </row>
    <row r="175" spans="4:9" x14ac:dyDescent="0.25">
      <c r="D175"/>
      <c r="E175"/>
      <c r="I175"/>
    </row>
    <row r="176" spans="4:9" x14ac:dyDescent="0.25">
      <c r="D176"/>
      <c r="E176"/>
      <c r="I176"/>
    </row>
    <row r="177" spans="4:9" x14ac:dyDescent="0.25">
      <c r="D177"/>
      <c r="E177"/>
      <c r="I177"/>
    </row>
    <row r="178" spans="4:9" x14ac:dyDescent="0.25">
      <c r="D178"/>
      <c r="E178"/>
      <c r="I178"/>
    </row>
    <row r="179" spans="4:9" x14ac:dyDescent="0.25">
      <c r="D179"/>
      <c r="E179"/>
      <c r="I179"/>
    </row>
    <row r="180" spans="4:9" x14ac:dyDescent="0.25">
      <c r="D180"/>
      <c r="E180"/>
      <c r="I180"/>
    </row>
    <row r="181" spans="4:9" x14ac:dyDescent="0.25">
      <c r="D181"/>
      <c r="E181"/>
      <c r="I181"/>
    </row>
    <row r="182" spans="4:9" x14ac:dyDescent="0.25">
      <c r="D182"/>
      <c r="E182"/>
      <c r="I182"/>
    </row>
    <row r="183" spans="4:9" x14ac:dyDescent="0.25">
      <c r="D183"/>
      <c r="E183"/>
      <c r="I183"/>
    </row>
    <row r="184" spans="4:9" x14ac:dyDescent="0.25">
      <c r="D184"/>
      <c r="E184"/>
      <c r="I184"/>
    </row>
    <row r="185" spans="4:9" x14ac:dyDescent="0.25">
      <c r="D185"/>
      <c r="E185"/>
      <c r="I185"/>
    </row>
    <row r="186" spans="4:9" x14ac:dyDescent="0.25">
      <c r="D186"/>
      <c r="E186"/>
      <c r="I186"/>
    </row>
    <row r="187" spans="4:9" x14ac:dyDescent="0.25">
      <c r="D187"/>
      <c r="E187"/>
      <c r="I187"/>
    </row>
    <row r="188" spans="4:9" x14ac:dyDescent="0.25">
      <c r="D188"/>
      <c r="E188"/>
      <c r="I188"/>
    </row>
    <row r="189" spans="4:9" x14ac:dyDescent="0.25">
      <c r="D189"/>
      <c r="E189"/>
      <c r="I189"/>
    </row>
    <row r="190" spans="4:9" x14ac:dyDescent="0.25">
      <c r="D190"/>
      <c r="E190"/>
      <c r="I190"/>
    </row>
    <row r="191" spans="4:9" x14ac:dyDescent="0.25">
      <c r="D191"/>
      <c r="E191"/>
      <c r="I191"/>
    </row>
    <row r="192" spans="4:9" x14ac:dyDescent="0.25">
      <c r="D192"/>
      <c r="E192"/>
      <c r="I192"/>
    </row>
    <row r="193" spans="4:9" x14ac:dyDescent="0.25">
      <c r="D193"/>
      <c r="E193"/>
      <c r="I193"/>
    </row>
    <row r="194" spans="4:9" x14ac:dyDescent="0.25">
      <c r="D194"/>
      <c r="E194"/>
      <c r="I194"/>
    </row>
    <row r="195" spans="4:9" x14ac:dyDescent="0.25">
      <c r="D195"/>
      <c r="E195"/>
      <c r="I195"/>
    </row>
    <row r="196" spans="4:9" x14ac:dyDescent="0.25">
      <c r="D196"/>
      <c r="E196"/>
      <c r="I196"/>
    </row>
    <row r="197" spans="4:9" x14ac:dyDescent="0.25">
      <c r="D197"/>
      <c r="E197"/>
      <c r="I197"/>
    </row>
    <row r="198" spans="4:9" x14ac:dyDescent="0.25">
      <c r="D198"/>
      <c r="E198"/>
      <c r="I198"/>
    </row>
    <row r="199" spans="4:9" x14ac:dyDescent="0.25">
      <c r="D199"/>
      <c r="E199"/>
      <c r="I199"/>
    </row>
    <row r="200" spans="4:9" x14ac:dyDescent="0.25">
      <c r="D200"/>
      <c r="E200"/>
      <c r="I200"/>
    </row>
    <row r="201" spans="4:9" x14ac:dyDescent="0.25">
      <c r="D201"/>
      <c r="E201"/>
      <c r="I201"/>
    </row>
    <row r="202" spans="4:9" x14ac:dyDescent="0.25">
      <c r="D202"/>
      <c r="E202"/>
      <c r="I202"/>
    </row>
    <row r="203" spans="4:9" x14ac:dyDescent="0.25">
      <c r="D203"/>
      <c r="E203"/>
      <c r="I203"/>
    </row>
    <row r="204" spans="4:9" x14ac:dyDescent="0.25">
      <c r="D204"/>
      <c r="E204"/>
      <c r="I204"/>
    </row>
    <row r="205" spans="4:9" x14ac:dyDescent="0.25">
      <c r="D205"/>
      <c r="E205"/>
      <c r="I205"/>
    </row>
    <row r="206" spans="4:9" x14ac:dyDescent="0.25">
      <c r="D206"/>
      <c r="E206"/>
      <c r="I206"/>
    </row>
    <row r="207" spans="4:9" x14ac:dyDescent="0.25">
      <c r="D207"/>
      <c r="E207"/>
      <c r="I207"/>
    </row>
    <row r="208" spans="4:9" x14ac:dyDescent="0.25">
      <c r="D208"/>
      <c r="E208"/>
      <c r="I208"/>
    </row>
    <row r="209" spans="4:9" x14ac:dyDescent="0.25">
      <c r="D209"/>
      <c r="E209"/>
      <c r="I209"/>
    </row>
    <row r="210" spans="4:9" x14ac:dyDescent="0.25">
      <c r="D210"/>
      <c r="E210"/>
      <c r="I210"/>
    </row>
    <row r="211" spans="4:9" x14ac:dyDescent="0.25">
      <c r="D211"/>
      <c r="E211"/>
      <c r="I211"/>
    </row>
    <row r="212" spans="4:9" x14ac:dyDescent="0.25">
      <c r="D212"/>
      <c r="E212"/>
      <c r="I212"/>
    </row>
    <row r="213" spans="4:9" x14ac:dyDescent="0.25">
      <c r="D213"/>
      <c r="E213"/>
      <c r="I213"/>
    </row>
    <row r="214" spans="4:9" x14ac:dyDescent="0.25">
      <c r="D214"/>
      <c r="E214"/>
      <c r="I214"/>
    </row>
    <row r="215" spans="4:9" x14ac:dyDescent="0.25">
      <c r="D215"/>
      <c r="E215"/>
      <c r="I215"/>
    </row>
    <row r="216" spans="4:9" x14ac:dyDescent="0.25">
      <c r="D216"/>
      <c r="E216"/>
      <c r="I216"/>
    </row>
    <row r="217" spans="4:9" x14ac:dyDescent="0.25">
      <c r="D217"/>
      <c r="E217"/>
      <c r="I217"/>
    </row>
    <row r="218" spans="4:9" x14ac:dyDescent="0.25">
      <c r="D218"/>
      <c r="E218"/>
      <c r="I218"/>
    </row>
    <row r="219" spans="4:9" x14ac:dyDescent="0.25">
      <c r="D219"/>
      <c r="E219"/>
      <c r="I219"/>
    </row>
    <row r="220" spans="4:9" x14ac:dyDescent="0.25">
      <c r="D220"/>
      <c r="E220"/>
      <c r="I220"/>
    </row>
    <row r="221" spans="4:9" x14ac:dyDescent="0.25">
      <c r="D221"/>
      <c r="E221"/>
      <c r="I221"/>
    </row>
    <row r="222" spans="4:9" x14ac:dyDescent="0.25">
      <c r="D222"/>
      <c r="E222"/>
      <c r="I222"/>
    </row>
    <row r="223" spans="4:9" x14ac:dyDescent="0.25">
      <c r="D223"/>
      <c r="E223"/>
      <c r="I223"/>
    </row>
    <row r="224" spans="4:9" x14ac:dyDescent="0.25">
      <c r="D224"/>
      <c r="E224"/>
      <c r="I224"/>
    </row>
    <row r="225" spans="4:9" x14ac:dyDescent="0.25">
      <c r="D225"/>
      <c r="E225"/>
      <c r="I225"/>
    </row>
    <row r="226" spans="4:9" x14ac:dyDescent="0.25">
      <c r="D226"/>
      <c r="E226"/>
      <c r="I226"/>
    </row>
    <row r="227" spans="4:9" x14ac:dyDescent="0.25">
      <c r="D227"/>
      <c r="E227"/>
      <c r="I227"/>
    </row>
    <row r="228" spans="4:9" x14ac:dyDescent="0.25">
      <c r="D228"/>
      <c r="E228"/>
      <c r="I228"/>
    </row>
    <row r="229" spans="4:9" x14ac:dyDescent="0.25">
      <c r="D229"/>
      <c r="E229"/>
      <c r="I229"/>
    </row>
    <row r="230" spans="4:9" x14ac:dyDescent="0.25">
      <c r="D230"/>
      <c r="E230"/>
      <c r="I230"/>
    </row>
    <row r="231" spans="4:9" x14ac:dyDescent="0.25">
      <c r="D231"/>
      <c r="E231"/>
      <c r="I231"/>
    </row>
    <row r="232" spans="4:9" x14ac:dyDescent="0.25">
      <c r="D232"/>
      <c r="E232"/>
      <c r="I232"/>
    </row>
    <row r="233" spans="4:9" x14ac:dyDescent="0.25">
      <c r="D233"/>
      <c r="E233"/>
      <c r="I233"/>
    </row>
    <row r="234" spans="4:9" x14ac:dyDescent="0.25">
      <c r="D234"/>
      <c r="E234"/>
      <c r="I234"/>
    </row>
    <row r="235" spans="4:9" x14ac:dyDescent="0.25">
      <c r="D235"/>
      <c r="E235"/>
      <c r="I235"/>
    </row>
    <row r="236" spans="4:9" x14ac:dyDescent="0.25">
      <c r="D236"/>
      <c r="E236"/>
      <c r="I236"/>
    </row>
    <row r="237" spans="4:9" x14ac:dyDescent="0.25">
      <c r="D237"/>
      <c r="E237"/>
      <c r="I237"/>
    </row>
    <row r="238" spans="4:9" x14ac:dyDescent="0.25">
      <c r="D238"/>
      <c r="E238"/>
      <c r="I238"/>
    </row>
    <row r="239" spans="4:9" x14ac:dyDescent="0.25">
      <c r="D239"/>
      <c r="E239"/>
      <c r="I239"/>
    </row>
    <row r="240" spans="4:9" x14ac:dyDescent="0.25">
      <c r="D240"/>
      <c r="E240"/>
      <c r="I240"/>
    </row>
    <row r="241" spans="4:9" x14ac:dyDescent="0.25">
      <c r="D241"/>
      <c r="E241"/>
      <c r="I241"/>
    </row>
    <row r="242" spans="4:9" x14ac:dyDescent="0.25">
      <c r="D242"/>
      <c r="E242"/>
      <c r="I242"/>
    </row>
    <row r="243" spans="4:9" x14ac:dyDescent="0.25">
      <c r="D243"/>
      <c r="E243"/>
      <c r="I243"/>
    </row>
    <row r="244" spans="4:9" x14ac:dyDescent="0.25">
      <c r="D244"/>
      <c r="E244"/>
      <c r="I244"/>
    </row>
    <row r="245" spans="4:9" x14ac:dyDescent="0.25">
      <c r="D245"/>
      <c r="E245"/>
      <c r="I245"/>
    </row>
    <row r="246" spans="4:9" x14ac:dyDescent="0.25">
      <c r="D246"/>
      <c r="E246"/>
      <c r="I246"/>
    </row>
    <row r="247" spans="4:9" x14ac:dyDescent="0.25">
      <c r="D247"/>
      <c r="E247"/>
      <c r="I247"/>
    </row>
    <row r="248" spans="4:9" x14ac:dyDescent="0.25">
      <c r="D248"/>
      <c r="E248"/>
      <c r="I248"/>
    </row>
    <row r="249" spans="4:9" x14ac:dyDescent="0.25">
      <c r="D249"/>
      <c r="E249"/>
      <c r="I249"/>
    </row>
    <row r="250" spans="4:9" x14ac:dyDescent="0.25">
      <c r="D250"/>
      <c r="E250"/>
      <c r="I250"/>
    </row>
    <row r="251" spans="4:9" x14ac:dyDescent="0.25">
      <c r="D251"/>
      <c r="E251"/>
      <c r="I251"/>
    </row>
    <row r="252" spans="4:9" x14ac:dyDescent="0.25">
      <c r="D252"/>
      <c r="E252"/>
      <c r="I252"/>
    </row>
    <row r="253" spans="4:9" x14ac:dyDescent="0.25">
      <c r="D253"/>
      <c r="E253"/>
      <c r="I253"/>
    </row>
    <row r="254" spans="4:9" x14ac:dyDescent="0.25">
      <c r="D254"/>
      <c r="E254"/>
      <c r="I254"/>
    </row>
    <row r="255" spans="4:9" x14ac:dyDescent="0.25">
      <c r="D255"/>
      <c r="E255"/>
      <c r="I255"/>
    </row>
    <row r="256" spans="4:9" x14ac:dyDescent="0.25">
      <c r="D256"/>
      <c r="E256"/>
      <c r="I256"/>
    </row>
    <row r="257" spans="4:9" x14ac:dyDescent="0.25">
      <c r="D257"/>
      <c r="E257"/>
      <c r="I257"/>
    </row>
    <row r="258" spans="4:9" x14ac:dyDescent="0.25">
      <c r="D258"/>
      <c r="E258"/>
      <c r="I258"/>
    </row>
    <row r="259" spans="4:9" x14ac:dyDescent="0.25">
      <c r="D259"/>
      <c r="E259"/>
      <c r="I259"/>
    </row>
    <row r="260" spans="4:9" x14ac:dyDescent="0.25">
      <c r="D260"/>
      <c r="E260"/>
      <c r="I260"/>
    </row>
    <row r="261" spans="4:9" x14ac:dyDescent="0.25">
      <c r="D261"/>
      <c r="E261"/>
      <c r="I261"/>
    </row>
    <row r="262" spans="4:9" x14ac:dyDescent="0.25">
      <c r="D262"/>
      <c r="E262"/>
      <c r="I262"/>
    </row>
    <row r="263" spans="4:9" x14ac:dyDescent="0.25">
      <c r="D263"/>
      <c r="E263"/>
      <c r="I263"/>
    </row>
    <row r="264" spans="4:9" x14ac:dyDescent="0.25">
      <c r="D264"/>
      <c r="E264"/>
      <c r="I264"/>
    </row>
    <row r="265" spans="4:9" x14ac:dyDescent="0.25">
      <c r="D265"/>
      <c r="E265"/>
      <c r="I265"/>
    </row>
    <row r="266" spans="4:9" x14ac:dyDescent="0.25">
      <c r="D266"/>
      <c r="E266"/>
      <c r="I266"/>
    </row>
    <row r="267" spans="4:9" x14ac:dyDescent="0.25">
      <c r="D267"/>
      <c r="E267"/>
      <c r="I267"/>
    </row>
    <row r="268" spans="4:9" x14ac:dyDescent="0.25">
      <c r="D268"/>
      <c r="E268"/>
      <c r="I268"/>
    </row>
    <row r="269" spans="4:9" x14ac:dyDescent="0.25">
      <c r="D269"/>
      <c r="E269"/>
      <c r="I269"/>
    </row>
    <row r="270" spans="4:9" x14ac:dyDescent="0.25">
      <c r="D270"/>
      <c r="E270"/>
      <c r="I270"/>
    </row>
    <row r="271" spans="4:9" x14ac:dyDescent="0.25">
      <c r="D271"/>
      <c r="E271"/>
      <c r="I271"/>
    </row>
    <row r="272" spans="4:9" x14ac:dyDescent="0.25">
      <c r="D272"/>
      <c r="E272"/>
      <c r="I272"/>
    </row>
    <row r="273" spans="4:9" x14ac:dyDescent="0.25">
      <c r="D273"/>
      <c r="E273"/>
      <c r="I273"/>
    </row>
    <row r="274" spans="4:9" x14ac:dyDescent="0.25">
      <c r="D274"/>
      <c r="E274"/>
      <c r="I274"/>
    </row>
    <row r="275" spans="4:9" x14ac:dyDescent="0.25">
      <c r="D275"/>
      <c r="E275"/>
      <c r="I275"/>
    </row>
    <row r="276" spans="4:9" x14ac:dyDescent="0.25">
      <c r="D276"/>
      <c r="E276"/>
      <c r="I276"/>
    </row>
    <row r="277" spans="4:9" x14ac:dyDescent="0.25">
      <c r="D277"/>
      <c r="E277"/>
      <c r="I277"/>
    </row>
    <row r="278" spans="4:9" x14ac:dyDescent="0.25">
      <c r="D278"/>
      <c r="E278"/>
      <c r="I278"/>
    </row>
    <row r="279" spans="4:9" x14ac:dyDescent="0.25">
      <c r="D279"/>
      <c r="E279"/>
      <c r="I279"/>
    </row>
    <row r="280" spans="4:9" x14ac:dyDescent="0.25">
      <c r="D280"/>
      <c r="E280"/>
      <c r="I280"/>
    </row>
    <row r="281" spans="4:9" x14ac:dyDescent="0.25">
      <c r="D281"/>
      <c r="E281"/>
      <c r="I281"/>
    </row>
    <row r="282" spans="4:9" x14ac:dyDescent="0.25">
      <c r="D282"/>
      <c r="E282"/>
      <c r="I282"/>
    </row>
    <row r="283" spans="4:9" x14ac:dyDescent="0.25">
      <c r="D283"/>
      <c r="E283"/>
      <c r="I283"/>
    </row>
    <row r="284" spans="4:9" x14ac:dyDescent="0.25">
      <c r="D284"/>
      <c r="E284"/>
      <c r="I284"/>
    </row>
    <row r="285" spans="4:9" x14ac:dyDescent="0.25">
      <c r="D285"/>
      <c r="E285"/>
      <c r="I285"/>
    </row>
    <row r="286" spans="4:9" x14ac:dyDescent="0.25">
      <c r="D286"/>
      <c r="E286"/>
      <c r="I286"/>
    </row>
    <row r="287" spans="4:9" x14ac:dyDescent="0.25">
      <c r="D287"/>
      <c r="E287"/>
      <c r="I287"/>
    </row>
    <row r="288" spans="4:9" x14ac:dyDescent="0.25">
      <c r="D288"/>
      <c r="E288"/>
      <c r="I288"/>
    </row>
    <row r="289" spans="4:9" x14ac:dyDescent="0.25">
      <c r="D289"/>
      <c r="E289"/>
      <c r="I289"/>
    </row>
    <row r="290" spans="4:9" x14ac:dyDescent="0.25">
      <c r="D290"/>
      <c r="E290"/>
      <c r="I290"/>
    </row>
    <row r="291" spans="4:9" x14ac:dyDescent="0.25">
      <c r="D291"/>
      <c r="E291"/>
      <c r="I291"/>
    </row>
    <row r="292" spans="4:9" x14ac:dyDescent="0.25">
      <c r="D292"/>
      <c r="E292"/>
      <c r="I292"/>
    </row>
    <row r="293" spans="4:9" x14ac:dyDescent="0.25">
      <c r="D293"/>
      <c r="E293"/>
      <c r="I293"/>
    </row>
    <row r="294" spans="4:9" x14ac:dyDescent="0.25">
      <c r="D294"/>
      <c r="E294"/>
      <c r="I294"/>
    </row>
    <row r="295" spans="4:9" x14ac:dyDescent="0.25">
      <c r="D295"/>
      <c r="E295"/>
      <c r="I295"/>
    </row>
    <row r="296" spans="4:9" x14ac:dyDescent="0.25">
      <c r="D296"/>
      <c r="E296"/>
      <c r="I296"/>
    </row>
    <row r="297" spans="4:9" x14ac:dyDescent="0.25">
      <c r="D297"/>
      <c r="E297"/>
      <c r="I297"/>
    </row>
    <row r="298" spans="4:9" x14ac:dyDescent="0.25">
      <c r="D298"/>
      <c r="E298"/>
      <c r="I298"/>
    </row>
    <row r="299" spans="4:9" x14ac:dyDescent="0.25">
      <c r="D299"/>
      <c r="E299"/>
      <c r="I299"/>
    </row>
    <row r="300" spans="4:9" x14ac:dyDescent="0.25">
      <c r="D300"/>
      <c r="E300"/>
      <c r="I300"/>
    </row>
    <row r="301" spans="4:9" x14ac:dyDescent="0.25">
      <c r="D301"/>
      <c r="E301"/>
      <c r="I301"/>
    </row>
    <row r="302" spans="4:9" x14ac:dyDescent="0.25">
      <c r="D302"/>
      <c r="E302"/>
      <c r="I302"/>
    </row>
    <row r="303" spans="4:9" x14ac:dyDescent="0.25">
      <c r="D303"/>
      <c r="E303"/>
      <c r="I303"/>
    </row>
    <row r="304" spans="4:9" x14ac:dyDescent="0.25">
      <c r="D304"/>
      <c r="E304"/>
      <c r="I304"/>
    </row>
    <row r="305" spans="4:9" x14ac:dyDescent="0.25">
      <c r="D305"/>
      <c r="E305"/>
      <c r="I305"/>
    </row>
    <row r="306" spans="4:9" x14ac:dyDescent="0.25">
      <c r="D306"/>
      <c r="E306"/>
      <c r="I306"/>
    </row>
    <row r="307" spans="4:9" x14ac:dyDescent="0.25">
      <c r="D307"/>
      <c r="E307"/>
      <c r="I307"/>
    </row>
    <row r="308" spans="4:9" x14ac:dyDescent="0.25">
      <c r="D308"/>
      <c r="E308"/>
      <c r="I308"/>
    </row>
    <row r="309" spans="4:9" x14ac:dyDescent="0.25">
      <c r="D309"/>
      <c r="E309"/>
      <c r="I309"/>
    </row>
    <row r="310" spans="4:9" x14ac:dyDescent="0.25">
      <c r="D310"/>
      <c r="E310"/>
      <c r="I310"/>
    </row>
    <row r="311" spans="4:9" x14ac:dyDescent="0.25">
      <c r="D311"/>
      <c r="E311"/>
      <c r="I311"/>
    </row>
    <row r="312" spans="4:9" x14ac:dyDescent="0.25">
      <c r="D312"/>
      <c r="E312"/>
      <c r="I312"/>
    </row>
    <row r="313" spans="4:9" x14ac:dyDescent="0.25">
      <c r="D313"/>
      <c r="E313"/>
      <c r="I313"/>
    </row>
    <row r="314" spans="4:9" x14ac:dyDescent="0.25">
      <c r="D314"/>
      <c r="E314"/>
      <c r="I314"/>
    </row>
    <row r="315" spans="4:9" x14ac:dyDescent="0.25">
      <c r="D315"/>
      <c r="E315"/>
      <c r="I315"/>
    </row>
    <row r="316" spans="4:9" x14ac:dyDescent="0.25">
      <c r="D316"/>
      <c r="E316"/>
      <c r="I316"/>
    </row>
    <row r="317" spans="4:9" x14ac:dyDescent="0.25">
      <c r="D317"/>
      <c r="E317"/>
      <c r="I317"/>
    </row>
    <row r="318" spans="4:9" x14ac:dyDescent="0.25">
      <c r="D318"/>
      <c r="E318"/>
      <c r="I318"/>
    </row>
    <row r="319" spans="4:9" x14ac:dyDescent="0.25">
      <c r="D319"/>
      <c r="E319"/>
      <c r="I319"/>
    </row>
    <row r="320" spans="4:9" x14ac:dyDescent="0.25">
      <c r="D320"/>
      <c r="E320"/>
      <c r="I320"/>
    </row>
    <row r="321" spans="4:9" x14ac:dyDescent="0.25">
      <c r="D321"/>
      <c r="E321"/>
      <c r="I321"/>
    </row>
    <row r="322" spans="4:9" x14ac:dyDescent="0.25">
      <c r="D322"/>
      <c r="E322"/>
      <c r="I322"/>
    </row>
    <row r="323" spans="4:9" x14ac:dyDescent="0.25">
      <c r="D323"/>
      <c r="E323"/>
      <c r="I323"/>
    </row>
    <row r="324" spans="4:9" x14ac:dyDescent="0.25">
      <c r="D324"/>
      <c r="E324"/>
      <c r="I324"/>
    </row>
    <row r="325" spans="4:9" x14ac:dyDescent="0.25">
      <c r="D325"/>
      <c r="E325"/>
      <c r="I325"/>
    </row>
    <row r="326" spans="4:9" x14ac:dyDescent="0.25">
      <c r="D326"/>
      <c r="E326"/>
      <c r="I326"/>
    </row>
    <row r="327" spans="4:9" x14ac:dyDescent="0.25">
      <c r="D327"/>
      <c r="E327"/>
      <c r="I327"/>
    </row>
    <row r="328" spans="4:9" x14ac:dyDescent="0.25">
      <c r="D328"/>
      <c r="E328"/>
      <c r="I328"/>
    </row>
    <row r="329" spans="4:9" x14ac:dyDescent="0.25">
      <c r="D329"/>
      <c r="E329"/>
      <c r="I329"/>
    </row>
    <row r="330" spans="4:9" x14ac:dyDescent="0.25">
      <c r="D330"/>
      <c r="E330"/>
      <c r="I330"/>
    </row>
    <row r="331" spans="4:9" x14ac:dyDescent="0.25">
      <c r="D331"/>
      <c r="E331"/>
      <c r="I331"/>
    </row>
    <row r="332" spans="4:9" x14ac:dyDescent="0.25">
      <c r="D332"/>
      <c r="E332"/>
      <c r="I332"/>
    </row>
    <row r="333" spans="4:9" x14ac:dyDescent="0.25">
      <c r="D333"/>
      <c r="E333"/>
      <c r="I333"/>
    </row>
    <row r="334" spans="4:9" x14ac:dyDescent="0.25">
      <c r="D334"/>
      <c r="E334"/>
      <c r="I334"/>
    </row>
    <row r="335" spans="4:9" x14ac:dyDescent="0.25">
      <c r="D335"/>
      <c r="E335"/>
      <c r="I335"/>
    </row>
    <row r="336" spans="4:9" x14ac:dyDescent="0.25">
      <c r="D336"/>
      <c r="E336"/>
      <c r="I336"/>
    </row>
    <row r="337" spans="4:9" x14ac:dyDescent="0.25">
      <c r="D337"/>
      <c r="E337"/>
      <c r="I337"/>
    </row>
    <row r="338" spans="4:9" x14ac:dyDescent="0.25">
      <c r="D338"/>
      <c r="E338"/>
      <c r="I338"/>
    </row>
    <row r="339" spans="4:9" x14ac:dyDescent="0.25">
      <c r="D339"/>
      <c r="E339"/>
      <c r="I339"/>
    </row>
    <row r="340" spans="4:9" x14ac:dyDescent="0.25">
      <c r="D340"/>
      <c r="E340"/>
      <c r="I340"/>
    </row>
    <row r="341" spans="4:9" x14ac:dyDescent="0.25">
      <c r="D341"/>
      <c r="E341"/>
      <c r="I341"/>
    </row>
    <row r="342" spans="4:9" x14ac:dyDescent="0.25">
      <c r="D342"/>
      <c r="E342"/>
      <c r="I342"/>
    </row>
    <row r="343" spans="4:9" x14ac:dyDescent="0.25">
      <c r="D343"/>
      <c r="E343"/>
      <c r="I343"/>
    </row>
    <row r="344" spans="4:9" x14ac:dyDescent="0.25">
      <c r="D344"/>
      <c r="E344"/>
      <c r="I344"/>
    </row>
    <row r="345" spans="4:9" x14ac:dyDescent="0.25">
      <c r="D345"/>
      <c r="E345"/>
      <c r="I345"/>
    </row>
    <row r="346" spans="4:9" x14ac:dyDescent="0.25">
      <c r="D346"/>
      <c r="E346"/>
      <c r="I346"/>
    </row>
    <row r="347" spans="4:9" x14ac:dyDescent="0.25">
      <c r="D347"/>
      <c r="E347"/>
      <c r="I347"/>
    </row>
    <row r="348" spans="4:9" x14ac:dyDescent="0.25">
      <c r="D348"/>
      <c r="E348"/>
      <c r="I348"/>
    </row>
    <row r="349" spans="4:9" x14ac:dyDescent="0.25">
      <c r="D349"/>
      <c r="E349"/>
      <c r="I349"/>
    </row>
    <row r="350" spans="4:9" x14ac:dyDescent="0.25">
      <c r="D350"/>
      <c r="E350"/>
      <c r="I350"/>
    </row>
    <row r="351" spans="4:9" x14ac:dyDescent="0.25">
      <c r="D351"/>
      <c r="E351"/>
      <c r="I351"/>
    </row>
    <row r="352" spans="4:9" x14ac:dyDescent="0.25">
      <c r="D352"/>
      <c r="E352"/>
      <c r="I352"/>
    </row>
    <row r="353" spans="4:9" x14ac:dyDescent="0.25">
      <c r="D353"/>
      <c r="E353"/>
      <c r="I353"/>
    </row>
    <row r="354" spans="4:9" x14ac:dyDescent="0.25">
      <c r="D354"/>
      <c r="E354"/>
      <c r="I354"/>
    </row>
    <row r="355" spans="4:9" x14ac:dyDescent="0.25">
      <c r="D355"/>
      <c r="E355"/>
      <c r="I355"/>
    </row>
    <row r="356" spans="4:9" x14ac:dyDescent="0.25">
      <c r="D356"/>
      <c r="E356"/>
      <c r="I356"/>
    </row>
    <row r="357" spans="4:9" x14ac:dyDescent="0.25">
      <c r="D357"/>
      <c r="E357"/>
      <c r="I357"/>
    </row>
    <row r="358" spans="4:9" x14ac:dyDescent="0.25">
      <c r="D358"/>
      <c r="E358"/>
      <c r="I358"/>
    </row>
    <row r="359" spans="4:9" x14ac:dyDescent="0.25">
      <c r="D359"/>
      <c r="E359"/>
      <c r="I359"/>
    </row>
    <row r="360" spans="4:9" x14ac:dyDescent="0.25">
      <c r="D360"/>
      <c r="E360"/>
      <c r="I360"/>
    </row>
    <row r="361" spans="4:9" x14ac:dyDescent="0.25">
      <c r="D361"/>
      <c r="E361"/>
      <c r="I361"/>
    </row>
    <row r="362" spans="4:9" x14ac:dyDescent="0.25">
      <c r="D362"/>
      <c r="E362"/>
      <c r="I362"/>
    </row>
    <row r="363" spans="4:9" x14ac:dyDescent="0.25">
      <c r="D363"/>
      <c r="E363"/>
      <c r="I363"/>
    </row>
    <row r="364" spans="4:9" x14ac:dyDescent="0.25">
      <c r="D364"/>
      <c r="E364"/>
      <c r="I364"/>
    </row>
    <row r="365" spans="4:9" x14ac:dyDescent="0.25">
      <c r="D365"/>
      <c r="E365"/>
      <c r="I365"/>
    </row>
    <row r="366" spans="4:9" x14ac:dyDescent="0.25">
      <c r="D366"/>
      <c r="E366"/>
      <c r="I366"/>
    </row>
    <row r="367" spans="4:9" x14ac:dyDescent="0.25">
      <c r="D367"/>
      <c r="E367"/>
      <c r="I367"/>
    </row>
    <row r="368" spans="4:9" x14ac:dyDescent="0.25">
      <c r="D368"/>
      <c r="E368"/>
      <c r="I368"/>
    </row>
    <row r="369" spans="4:9" x14ac:dyDescent="0.25">
      <c r="D369"/>
      <c r="E369"/>
      <c r="I369"/>
    </row>
    <row r="370" spans="4:9" x14ac:dyDescent="0.25">
      <c r="D370"/>
      <c r="E370"/>
      <c r="I370"/>
    </row>
    <row r="371" spans="4:9" x14ac:dyDescent="0.25">
      <c r="D371"/>
      <c r="E371"/>
      <c r="I371"/>
    </row>
    <row r="372" spans="4:9" x14ac:dyDescent="0.25">
      <c r="D372"/>
      <c r="E372"/>
      <c r="I372"/>
    </row>
    <row r="373" spans="4:9" x14ac:dyDescent="0.25">
      <c r="D373"/>
      <c r="E373"/>
      <c r="I373"/>
    </row>
    <row r="374" spans="4:9" x14ac:dyDescent="0.25">
      <c r="D374"/>
      <c r="E374"/>
      <c r="I374"/>
    </row>
    <row r="375" spans="4:9" x14ac:dyDescent="0.25">
      <c r="D375"/>
      <c r="E375"/>
      <c r="I375"/>
    </row>
    <row r="376" spans="4:9" x14ac:dyDescent="0.25">
      <c r="D376"/>
      <c r="E376"/>
      <c r="I376"/>
    </row>
    <row r="377" spans="4:9" x14ac:dyDescent="0.25">
      <c r="D377"/>
      <c r="E377"/>
      <c r="I377"/>
    </row>
    <row r="378" spans="4:9" x14ac:dyDescent="0.25">
      <c r="D378"/>
      <c r="E378"/>
      <c r="I378"/>
    </row>
    <row r="379" spans="4:9" x14ac:dyDescent="0.25">
      <c r="D379"/>
      <c r="E379"/>
      <c r="I379"/>
    </row>
    <row r="380" spans="4:9" x14ac:dyDescent="0.25">
      <c r="D380"/>
      <c r="E380"/>
      <c r="I380"/>
    </row>
    <row r="381" spans="4:9" x14ac:dyDescent="0.25">
      <c r="D381"/>
      <c r="E381"/>
      <c r="I381"/>
    </row>
    <row r="382" spans="4:9" x14ac:dyDescent="0.25">
      <c r="D382"/>
      <c r="E382"/>
      <c r="I382"/>
    </row>
    <row r="383" spans="4:9" x14ac:dyDescent="0.25">
      <c r="D383"/>
      <c r="E383"/>
      <c r="I383"/>
    </row>
    <row r="384" spans="4:9" x14ac:dyDescent="0.25">
      <c r="D384"/>
      <c r="E384"/>
      <c r="I384"/>
    </row>
    <row r="385" spans="4:9" x14ac:dyDescent="0.25">
      <c r="D385"/>
      <c r="E385"/>
      <c r="I385"/>
    </row>
    <row r="386" spans="4:9" x14ac:dyDescent="0.25">
      <c r="D386"/>
      <c r="E386"/>
      <c r="I386"/>
    </row>
    <row r="387" spans="4:9" x14ac:dyDescent="0.25">
      <c r="D387"/>
      <c r="E387"/>
      <c r="I387"/>
    </row>
    <row r="388" spans="4:9" x14ac:dyDescent="0.25">
      <c r="D388"/>
      <c r="E388"/>
      <c r="I388"/>
    </row>
    <row r="389" spans="4:9" x14ac:dyDescent="0.25">
      <c r="D389"/>
      <c r="E389"/>
      <c r="I389"/>
    </row>
    <row r="390" spans="4:9" x14ac:dyDescent="0.25">
      <c r="D390"/>
      <c r="E390"/>
      <c r="I390"/>
    </row>
    <row r="391" spans="4:9" x14ac:dyDescent="0.25">
      <c r="D391"/>
      <c r="E391"/>
      <c r="I391"/>
    </row>
    <row r="392" spans="4:9" x14ac:dyDescent="0.25">
      <c r="D392"/>
      <c r="E392"/>
      <c r="I392"/>
    </row>
    <row r="393" spans="4:9" x14ac:dyDescent="0.25">
      <c r="D393"/>
      <c r="E393"/>
      <c r="I393"/>
    </row>
    <row r="394" spans="4:9" x14ac:dyDescent="0.25">
      <c r="D394"/>
      <c r="E394"/>
      <c r="I394"/>
    </row>
    <row r="395" spans="4:9" x14ac:dyDescent="0.25">
      <c r="D395"/>
      <c r="E395"/>
      <c r="I395"/>
    </row>
    <row r="396" spans="4:9" x14ac:dyDescent="0.25">
      <c r="D396"/>
      <c r="E396"/>
      <c r="I396"/>
    </row>
    <row r="397" spans="4:9" x14ac:dyDescent="0.25">
      <c r="D397"/>
      <c r="E397"/>
      <c r="I397"/>
    </row>
    <row r="398" spans="4:9" x14ac:dyDescent="0.25">
      <c r="D398"/>
      <c r="E398"/>
      <c r="I398"/>
    </row>
    <row r="399" spans="4:9" x14ac:dyDescent="0.25">
      <c r="D399"/>
      <c r="E399"/>
      <c r="I399"/>
    </row>
    <row r="400" spans="4:9" x14ac:dyDescent="0.25">
      <c r="D400"/>
      <c r="E400"/>
      <c r="I400"/>
    </row>
    <row r="401" spans="4:9" x14ac:dyDescent="0.25">
      <c r="D401"/>
      <c r="E401"/>
      <c r="I401"/>
    </row>
    <row r="402" spans="4:9" x14ac:dyDescent="0.25">
      <c r="D402"/>
      <c r="E402"/>
      <c r="I402"/>
    </row>
    <row r="403" spans="4:9" x14ac:dyDescent="0.25">
      <c r="D403"/>
      <c r="E403"/>
      <c r="I403"/>
    </row>
    <row r="404" spans="4:9" x14ac:dyDescent="0.25">
      <c r="D404"/>
      <c r="E404"/>
      <c r="I404"/>
    </row>
    <row r="405" spans="4:9" x14ac:dyDescent="0.25">
      <c r="D405"/>
      <c r="E405"/>
      <c r="I405"/>
    </row>
    <row r="406" spans="4:9" x14ac:dyDescent="0.25">
      <c r="D406"/>
      <c r="E406"/>
      <c r="I406"/>
    </row>
    <row r="407" spans="4:9" x14ac:dyDescent="0.25">
      <c r="D407"/>
      <c r="E407"/>
      <c r="I407"/>
    </row>
    <row r="408" spans="4:9" x14ac:dyDescent="0.25">
      <c r="D408"/>
      <c r="E408"/>
      <c r="I408"/>
    </row>
    <row r="409" spans="4:9" x14ac:dyDescent="0.25">
      <c r="D409"/>
      <c r="E409"/>
      <c r="I409"/>
    </row>
    <row r="410" spans="4:9" x14ac:dyDescent="0.25">
      <c r="D410"/>
      <c r="E410"/>
      <c r="I410"/>
    </row>
    <row r="411" spans="4:9" x14ac:dyDescent="0.25">
      <c r="D411"/>
      <c r="E411"/>
      <c r="I411"/>
    </row>
    <row r="412" spans="4:9" x14ac:dyDescent="0.25">
      <c r="D412"/>
      <c r="E412"/>
      <c r="I412"/>
    </row>
    <row r="413" spans="4:9" x14ac:dyDescent="0.25">
      <c r="D413"/>
      <c r="E413"/>
      <c r="I413"/>
    </row>
    <row r="414" spans="4:9" x14ac:dyDescent="0.25">
      <c r="D414"/>
      <c r="E414"/>
      <c r="I414"/>
    </row>
    <row r="415" spans="4:9" x14ac:dyDescent="0.25">
      <c r="D415"/>
      <c r="E415"/>
      <c r="I415"/>
    </row>
    <row r="416" spans="4:9" x14ac:dyDescent="0.25">
      <c r="D416"/>
      <c r="E416"/>
      <c r="I416"/>
    </row>
    <row r="417" spans="4:9" x14ac:dyDescent="0.25">
      <c r="D417"/>
      <c r="E417"/>
      <c r="I417"/>
    </row>
    <row r="418" spans="4:9" x14ac:dyDescent="0.25">
      <c r="D418"/>
      <c r="E418"/>
      <c r="I418"/>
    </row>
    <row r="419" spans="4:9" x14ac:dyDescent="0.25">
      <c r="D419"/>
      <c r="E419"/>
      <c r="I419"/>
    </row>
    <row r="420" spans="4:9" x14ac:dyDescent="0.25">
      <c r="D420"/>
      <c r="E420"/>
      <c r="I420"/>
    </row>
    <row r="421" spans="4:9" x14ac:dyDescent="0.25">
      <c r="D421"/>
      <c r="E421"/>
      <c r="I421"/>
    </row>
    <row r="422" spans="4:9" x14ac:dyDescent="0.25">
      <c r="D422"/>
      <c r="E422"/>
      <c r="I422"/>
    </row>
    <row r="423" spans="4:9" x14ac:dyDescent="0.25">
      <c r="D423"/>
      <c r="E423"/>
      <c r="I423"/>
    </row>
    <row r="424" spans="4:9" x14ac:dyDescent="0.25">
      <c r="D424"/>
      <c r="E424"/>
      <c r="I424"/>
    </row>
    <row r="425" spans="4:9" x14ac:dyDescent="0.25">
      <c r="D425"/>
      <c r="E425"/>
      <c r="I425"/>
    </row>
    <row r="426" spans="4:9" x14ac:dyDescent="0.25">
      <c r="D426"/>
      <c r="E426"/>
      <c r="I426"/>
    </row>
    <row r="427" spans="4:9" x14ac:dyDescent="0.25">
      <c r="D427"/>
      <c r="E427"/>
      <c r="I427"/>
    </row>
    <row r="428" spans="4:9" x14ac:dyDescent="0.25">
      <c r="D428"/>
      <c r="E428"/>
      <c r="I428"/>
    </row>
    <row r="429" spans="4:9" x14ac:dyDescent="0.25">
      <c r="D429"/>
      <c r="E429"/>
      <c r="I429"/>
    </row>
    <row r="430" spans="4:9" x14ac:dyDescent="0.25">
      <c r="D430"/>
      <c r="E430"/>
      <c r="I430"/>
    </row>
    <row r="431" spans="4:9" x14ac:dyDescent="0.25">
      <c r="D431"/>
      <c r="E431"/>
      <c r="I431"/>
    </row>
    <row r="432" spans="4:9" x14ac:dyDescent="0.25">
      <c r="D432"/>
      <c r="E432"/>
      <c r="I432"/>
    </row>
    <row r="433" spans="4:9" x14ac:dyDescent="0.25">
      <c r="D433"/>
      <c r="E433"/>
      <c r="I433"/>
    </row>
    <row r="434" spans="4:9" x14ac:dyDescent="0.25">
      <c r="D434"/>
      <c r="E434"/>
      <c r="I434"/>
    </row>
    <row r="435" spans="4:9" x14ac:dyDescent="0.25">
      <c r="D435"/>
      <c r="E435"/>
      <c r="I435"/>
    </row>
    <row r="436" spans="4:9" x14ac:dyDescent="0.25">
      <c r="D436"/>
      <c r="E436"/>
      <c r="I436"/>
    </row>
    <row r="437" spans="4:9" x14ac:dyDescent="0.25">
      <c r="D437"/>
      <c r="E437"/>
      <c r="I437"/>
    </row>
    <row r="438" spans="4:9" x14ac:dyDescent="0.25">
      <c r="D438"/>
      <c r="E438"/>
      <c r="I438"/>
    </row>
    <row r="439" spans="4:9" x14ac:dyDescent="0.25">
      <c r="D439"/>
      <c r="E439"/>
      <c r="I439"/>
    </row>
    <row r="440" spans="4:9" x14ac:dyDescent="0.25">
      <c r="D440"/>
      <c r="E440"/>
      <c r="I440"/>
    </row>
    <row r="441" spans="4:9" x14ac:dyDescent="0.25">
      <c r="D441"/>
      <c r="E441"/>
      <c r="I441"/>
    </row>
    <row r="442" spans="4:9" x14ac:dyDescent="0.25">
      <c r="D442"/>
      <c r="E442"/>
      <c r="I442"/>
    </row>
    <row r="443" spans="4:9" x14ac:dyDescent="0.25">
      <c r="D443"/>
      <c r="E443"/>
      <c r="I443"/>
    </row>
    <row r="444" spans="4:9" x14ac:dyDescent="0.25">
      <c r="D444"/>
      <c r="E444"/>
      <c r="I444"/>
    </row>
    <row r="445" spans="4:9" x14ac:dyDescent="0.25">
      <c r="D445"/>
      <c r="E445"/>
      <c r="I445"/>
    </row>
    <row r="446" spans="4:9" x14ac:dyDescent="0.25">
      <c r="D446"/>
      <c r="E446"/>
      <c r="I446"/>
    </row>
    <row r="447" spans="4:9" x14ac:dyDescent="0.25">
      <c r="D447"/>
      <c r="E447"/>
      <c r="I447"/>
    </row>
    <row r="448" spans="4:9" x14ac:dyDescent="0.25">
      <c r="D448"/>
      <c r="E448"/>
      <c r="I448"/>
    </row>
    <row r="449" spans="4:9" x14ac:dyDescent="0.25">
      <c r="D449"/>
      <c r="E449"/>
      <c r="I449"/>
    </row>
    <row r="450" spans="4:9" x14ac:dyDescent="0.25">
      <c r="D450"/>
      <c r="E450"/>
      <c r="I450"/>
    </row>
    <row r="451" spans="4:9" x14ac:dyDescent="0.25">
      <c r="D451"/>
      <c r="E451"/>
      <c r="I451"/>
    </row>
    <row r="452" spans="4:9" x14ac:dyDescent="0.25">
      <c r="D452"/>
      <c r="E452"/>
      <c r="I452"/>
    </row>
    <row r="453" spans="4:9" x14ac:dyDescent="0.25">
      <c r="D453"/>
      <c r="E453"/>
      <c r="I453"/>
    </row>
    <row r="454" spans="4:9" x14ac:dyDescent="0.25">
      <c r="D454"/>
      <c r="E454"/>
      <c r="I454"/>
    </row>
    <row r="455" spans="4:9" x14ac:dyDescent="0.25">
      <c r="D455"/>
      <c r="E455"/>
      <c r="I455"/>
    </row>
    <row r="456" spans="4:9" x14ac:dyDescent="0.25">
      <c r="D456"/>
      <c r="E456"/>
      <c r="I456"/>
    </row>
    <row r="457" spans="4:9" x14ac:dyDescent="0.25">
      <c r="D457"/>
      <c r="E457"/>
      <c r="I457"/>
    </row>
    <row r="458" spans="4:9" x14ac:dyDescent="0.25">
      <c r="D458"/>
      <c r="E458"/>
      <c r="I458"/>
    </row>
    <row r="459" spans="4:9" x14ac:dyDescent="0.25">
      <c r="D459"/>
      <c r="E459"/>
      <c r="I459"/>
    </row>
    <row r="460" spans="4:9" x14ac:dyDescent="0.25">
      <c r="D460"/>
      <c r="E460"/>
      <c r="I460"/>
    </row>
    <row r="461" spans="4:9" x14ac:dyDescent="0.25">
      <c r="D461"/>
      <c r="E461"/>
      <c r="I461"/>
    </row>
    <row r="462" spans="4:9" x14ac:dyDescent="0.25">
      <c r="D462"/>
      <c r="E462"/>
      <c r="I462"/>
    </row>
    <row r="463" spans="4:9" x14ac:dyDescent="0.25">
      <c r="D463"/>
      <c r="E463"/>
      <c r="I463"/>
    </row>
    <row r="464" spans="4:9" x14ac:dyDescent="0.25">
      <c r="D464"/>
      <c r="E464"/>
      <c r="I464"/>
    </row>
    <row r="465" spans="4:9" x14ac:dyDescent="0.25">
      <c r="D465"/>
      <c r="E465"/>
      <c r="I465"/>
    </row>
    <row r="466" spans="4:9" x14ac:dyDescent="0.25">
      <c r="D466"/>
      <c r="E466"/>
      <c r="I466"/>
    </row>
    <row r="467" spans="4:9" x14ac:dyDescent="0.25">
      <c r="D467"/>
      <c r="E467"/>
      <c r="I467"/>
    </row>
    <row r="468" spans="4:9" x14ac:dyDescent="0.25">
      <c r="D468"/>
      <c r="E468"/>
      <c r="I468"/>
    </row>
    <row r="469" spans="4:9" x14ac:dyDescent="0.25">
      <c r="D469"/>
      <c r="E469"/>
      <c r="I469"/>
    </row>
    <row r="470" spans="4:9" x14ac:dyDescent="0.25">
      <c r="D470"/>
      <c r="E470"/>
      <c r="I470"/>
    </row>
    <row r="471" spans="4:9" x14ac:dyDescent="0.25">
      <c r="D471"/>
      <c r="E471"/>
      <c r="I471"/>
    </row>
    <row r="472" spans="4:9" x14ac:dyDescent="0.25">
      <c r="D472"/>
      <c r="E472"/>
      <c r="I472"/>
    </row>
    <row r="473" spans="4:9" x14ac:dyDescent="0.25">
      <c r="D473"/>
      <c r="E473"/>
      <c r="I473"/>
    </row>
    <row r="474" spans="4:9" x14ac:dyDescent="0.25">
      <c r="D474"/>
      <c r="E474"/>
      <c r="I474"/>
    </row>
    <row r="475" spans="4:9" x14ac:dyDescent="0.25">
      <c r="D475"/>
      <c r="E475"/>
      <c r="I475"/>
    </row>
    <row r="476" spans="4:9" x14ac:dyDescent="0.25">
      <c r="D476"/>
      <c r="E476"/>
      <c r="I476"/>
    </row>
    <row r="477" spans="4:9" x14ac:dyDescent="0.25">
      <c r="D477"/>
      <c r="E477"/>
      <c r="I477"/>
    </row>
    <row r="478" spans="4:9" x14ac:dyDescent="0.25">
      <c r="D478"/>
      <c r="E478"/>
      <c r="I478"/>
    </row>
    <row r="479" spans="4:9" x14ac:dyDescent="0.25">
      <c r="D479"/>
      <c r="E479"/>
      <c r="I479"/>
    </row>
    <row r="480" spans="4:9" x14ac:dyDescent="0.25">
      <c r="D480"/>
      <c r="E480"/>
      <c r="I480"/>
    </row>
    <row r="481" spans="4:9" x14ac:dyDescent="0.25">
      <c r="D481"/>
      <c r="E481"/>
      <c r="I481"/>
    </row>
    <row r="482" spans="4:9" x14ac:dyDescent="0.25">
      <c r="D482"/>
      <c r="E482"/>
      <c r="I482"/>
    </row>
    <row r="483" spans="4:9" x14ac:dyDescent="0.25">
      <c r="D483"/>
      <c r="E483"/>
      <c r="I483"/>
    </row>
    <row r="484" spans="4:9" x14ac:dyDescent="0.25">
      <c r="D484"/>
      <c r="E484"/>
      <c r="I484"/>
    </row>
    <row r="485" spans="4:9" x14ac:dyDescent="0.25">
      <c r="D485"/>
      <c r="E485"/>
      <c r="I485"/>
    </row>
    <row r="486" spans="4:9" x14ac:dyDescent="0.25">
      <c r="D486"/>
      <c r="E486"/>
      <c r="I486"/>
    </row>
    <row r="487" spans="4:9" x14ac:dyDescent="0.25">
      <c r="D487"/>
      <c r="E487"/>
      <c r="I487"/>
    </row>
    <row r="488" spans="4:9" x14ac:dyDescent="0.25">
      <c r="D488"/>
      <c r="E488"/>
      <c r="I488"/>
    </row>
    <row r="489" spans="4:9" x14ac:dyDescent="0.25">
      <c r="D489"/>
      <c r="E489"/>
      <c r="I489"/>
    </row>
    <row r="490" spans="4:9" x14ac:dyDescent="0.25">
      <c r="D490"/>
      <c r="E490"/>
      <c r="I490"/>
    </row>
    <row r="491" spans="4:9" x14ac:dyDescent="0.25">
      <c r="D491"/>
      <c r="E491"/>
      <c r="I491"/>
    </row>
    <row r="492" spans="4:9" x14ac:dyDescent="0.25">
      <c r="D492"/>
      <c r="E492"/>
      <c r="I492"/>
    </row>
    <row r="493" spans="4:9" x14ac:dyDescent="0.25">
      <c r="D493"/>
      <c r="E493"/>
      <c r="I493"/>
    </row>
    <row r="494" spans="4:9" x14ac:dyDescent="0.25">
      <c r="D494"/>
      <c r="E494"/>
      <c r="I494"/>
    </row>
    <row r="495" spans="4:9" x14ac:dyDescent="0.25">
      <c r="D495"/>
      <c r="E495"/>
      <c r="I495"/>
    </row>
    <row r="496" spans="4:9" x14ac:dyDescent="0.25">
      <c r="D496"/>
      <c r="E496"/>
      <c r="I496"/>
    </row>
    <row r="497" spans="4:9" x14ac:dyDescent="0.25">
      <c r="D497"/>
      <c r="E497"/>
      <c r="I497"/>
    </row>
    <row r="498" spans="4:9" x14ac:dyDescent="0.25">
      <c r="D498"/>
      <c r="E498"/>
      <c r="I498"/>
    </row>
    <row r="499" spans="4:9" x14ac:dyDescent="0.25">
      <c r="D499"/>
      <c r="E499"/>
      <c r="I499"/>
    </row>
    <row r="500" spans="4:9" x14ac:dyDescent="0.25">
      <c r="D500"/>
      <c r="E500"/>
      <c r="I500"/>
    </row>
    <row r="501" spans="4:9" x14ac:dyDescent="0.25">
      <c r="D501"/>
      <c r="E501"/>
      <c r="I501"/>
    </row>
    <row r="502" spans="4:9" x14ac:dyDescent="0.25">
      <c r="D502"/>
      <c r="E502"/>
      <c r="I502"/>
    </row>
    <row r="503" spans="4:9" x14ac:dyDescent="0.25">
      <c r="D503"/>
      <c r="E503"/>
      <c r="I503"/>
    </row>
    <row r="504" spans="4:9" x14ac:dyDescent="0.25">
      <c r="D504"/>
      <c r="E504"/>
      <c r="I504"/>
    </row>
    <row r="505" spans="4:9" x14ac:dyDescent="0.25">
      <c r="D505"/>
      <c r="E505"/>
      <c r="I505"/>
    </row>
    <row r="506" spans="4:9" x14ac:dyDescent="0.25">
      <c r="D506"/>
      <c r="E506"/>
      <c r="I506"/>
    </row>
    <row r="507" spans="4:9" x14ac:dyDescent="0.25">
      <c r="D507"/>
      <c r="E507"/>
      <c r="I507"/>
    </row>
    <row r="508" spans="4:9" x14ac:dyDescent="0.25">
      <c r="D508"/>
      <c r="E508"/>
      <c r="I508"/>
    </row>
    <row r="509" spans="4:9" x14ac:dyDescent="0.25">
      <c r="D509"/>
      <c r="E509"/>
      <c r="I509"/>
    </row>
    <row r="510" spans="4:9" x14ac:dyDescent="0.25">
      <c r="D510"/>
      <c r="E510"/>
      <c r="I510"/>
    </row>
    <row r="511" spans="4:9" x14ac:dyDescent="0.25">
      <c r="D511"/>
      <c r="E511"/>
      <c r="I511"/>
    </row>
    <row r="512" spans="4:9" x14ac:dyDescent="0.25">
      <c r="D512"/>
      <c r="E512"/>
      <c r="I512"/>
    </row>
    <row r="513" spans="4:9" x14ac:dyDescent="0.25">
      <c r="D513"/>
      <c r="E513"/>
      <c r="I513"/>
    </row>
    <row r="514" spans="4:9" x14ac:dyDescent="0.25">
      <c r="D514"/>
      <c r="E514"/>
      <c r="I514"/>
    </row>
    <row r="515" spans="4:9" x14ac:dyDescent="0.25">
      <c r="D515"/>
      <c r="E515"/>
      <c r="I515"/>
    </row>
    <row r="516" spans="4:9" x14ac:dyDescent="0.25">
      <c r="D516"/>
      <c r="E516"/>
      <c r="I516"/>
    </row>
    <row r="517" spans="4:9" x14ac:dyDescent="0.25">
      <c r="D517"/>
      <c r="E517"/>
      <c r="I517"/>
    </row>
    <row r="518" spans="4:9" x14ac:dyDescent="0.25">
      <c r="D518"/>
      <c r="E518"/>
      <c r="I518"/>
    </row>
    <row r="519" spans="4:9" x14ac:dyDescent="0.25">
      <c r="D519"/>
      <c r="E519"/>
      <c r="I519"/>
    </row>
    <row r="520" spans="4:9" x14ac:dyDescent="0.25">
      <c r="D520"/>
      <c r="E520"/>
    </row>
    <row r="521" spans="4:9" x14ac:dyDescent="0.25">
      <c r="D521"/>
      <c r="E521"/>
    </row>
    <row r="522" spans="4:9" x14ac:dyDescent="0.25">
      <c r="D522"/>
      <c r="E522"/>
    </row>
    <row r="523" spans="4:9" x14ac:dyDescent="0.25">
      <c r="D523"/>
      <c r="E523"/>
    </row>
    <row r="524" spans="4:9" x14ac:dyDescent="0.25">
      <c r="D524"/>
      <c r="E524"/>
    </row>
    <row r="525" spans="4:9" x14ac:dyDescent="0.25">
      <c r="D525"/>
      <c r="E525"/>
    </row>
    <row r="526" spans="4:9" x14ac:dyDescent="0.25">
      <c r="D526"/>
      <c r="E526"/>
    </row>
    <row r="527" spans="4:9" x14ac:dyDescent="0.25">
      <c r="D527"/>
      <c r="E527"/>
    </row>
    <row r="528" spans="4:9" x14ac:dyDescent="0.25">
      <c r="D528"/>
      <c r="E528"/>
    </row>
    <row r="529" spans="4:5" x14ac:dyDescent="0.25">
      <c r="D529"/>
      <c r="E529"/>
    </row>
    <row r="530" spans="4:5" x14ac:dyDescent="0.25">
      <c r="D530"/>
      <c r="E530"/>
    </row>
    <row r="531" spans="4:5" x14ac:dyDescent="0.25">
      <c r="D531"/>
      <c r="E531"/>
    </row>
    <row r="532" spans="4:5" x14ac:dyDescent="0.25">
      <c r="D532"/>
      <c r="E532"/>
    </row>
    <row r="533" spans="4:5" x14ac:dyDescent="0.25">
      <c r="D533"/>
      <c r="E533"/>
    </row>
    <row r="534" spans="4:5" x14ac:dyDescent="0.25">
      <c r="D534"/>
      <c r="E534"/>
    </row>
    <row r="535" spans="4:5" x14ac:dyDescent="0.25">
      <c r="D535"/>
      <c r="E535"/>
    </row>
    <row r="536" spans="4:5" x14ac:dyDescent="0.25">
      <c r="D536"/>
      <c r="E536"/>
    </row>
    <row r="537" spans="4:5" x14ac:dyDescent="0.25">
      <c r="D537"/>
      <c r="E537"/>
    </row>
    <row r="538" spans="4:5" x14ac:dyDescent="0.25">
      <c r="D538"/>
      <c r="E538"/>
    </row>
    <row r="539" spans="4:5" x14ac:dyDescent="0.25">
      <c r="D539"/>
      <c r="E539"/>
    </row>
    <row r="540" spans="4:5" x14ac:dyDescent="0.25">
      <c r="D540"/>
      <c r="E540"/>
    </row>
    <row r="541" spans="4:5" x14ac:dyDescent="0.25">
      <c r="D541"/>
      <c r="E541"/>
    </row>
    <row r="542" spans="4:5" x14ac:dyDescent="0.25">
      <c r="D542"/>
      <c r="E542"/>
    </row>
    <row r="543" spans="4:5" x14ac:dyDescent="0.25">
      <c r="D543"/>
      <c r="E543"/>
    </row>
    <row r="544" spans="4:5" x14ac:dyDescent="0.25">
      <c r="D544"/>
      <c r="E544"/>
    </row>
    <row r="545" spans="4:5" x14ac:dyDescent="0.25">
      <c r="D545"/>
      <c r="E545"/>
    </row>
    <row r="546" spans="4:5" x14ac:dyDescent="0.25">
      <c r="D546"/>
      <c r="E546"/>
    </row>
    <row r="547" spans="4:5" x14ac:dyDescent="0.25">
      <c r="D547"/>
      <c r="E547"/>
    </row>
    <row r="548" spans="4:5" x14ac:dyDescent="0.25">
      <c r="D548"/>
      <c r="E548"/>
    </row>
    <row r="549" spans="4:5" x14ac:dyDescent="0.25">
      <c r="D549"/>
      <c r="E549"/>
    </row>
    <row r="550" spans="4:5" x14ac:dyDescent="0.25">
      <c r="D550"/>
      <c r="E550"/>
    </row>
    <row r="551" spans="4:5" x14ac:dyDescent="0.25">
      <c r="D551"/>
      <c r="E551"/>
    </row>
    <row r="552" spans="4:5" x14ac:dyDescent="0.25">
      <c r="D552"/>
      <c r="E552"/>
    </row>
    <row r="553" spans="4:5" x14ac:dyDescent="0.25">
      <c r="D553"/>
      <c r="E553"/>
    </row>
    <row r="554" spans="4:5" x14ac:dyDescent="0.25">
      <c r="D554"/>
      <c r="E554"/>
    </row>
    <row r="555" spans="4:5" x14ac:dyDescent="0.25">
      <c r="D555"/>
      <c r="E555"/>
    </row>
    <row r="556" spans="4:5" x14ac:dyDescent="0.25">
      <c r="D556"/>
      <c r="E556"/>
    </row>
    <row r="557" spans="4:5" x14ac:dyDescent="0.25">
      <c r="D557"/>
      <c r="E557"/>
    </row>
    <row r="558" spans="4:5" x14ac:dyDescent="0.25">
      <c r="D558"/>
      <c r="E558"/>
    </row>
    <row r="559" spans="4:5" x14ac:dyDescent="0.25">
      <c r="D559"/>
      <c r="E559"/>
    </row>
    <row r="560" spans="4:5" x14ac:dyDescent="0.25">
      <c r="D560"/>
      <c r="E560"/>
    </row>
    <row r="561" spans="4:5" x14ac:dyDescent="0.25">
      <c r="D561"/>
      <c r="E561"/>
    </row>
    <row r="562" spans="4:5" x14ac:dyDescent="0.25">
      <c r="D562"/>
      <c r="E562"/>
    </row>
    <row r="563" spans="4:5" x14ac:dyDescent="0.25">
      <c r="D563"/>
      <c r="E563"/>
    </row>
    <row r="564" spans="4:5" x14ac:dyDescent="0.25">
      <c r="D564"/>
      <c r="E564"/>
    </row>
    <row r="565" spans="4:5" x14ac:dyDescent="0.25">
      <c r="D565"/>
      <c r="E565"/>
    </row>
    <row r="566" spans="4:5" x14ac:dyDescent="0.25">
      <c r="D566"/>
      <c r="E566"/>
    </row>
    <row r="567" spans="4:5" x14ac:dyDescent="0.25">
      <c r="D567"/>
      <c r="E567"/>
    </row>
    <row r="568" spans="4:5" x14ac:dyDescent="0.25">
      <c r="D568"/>
      <c r="E568"/>
    </row>
    <row r="569" spans="4:5" x14ac:dyDescent="0.25">
      <c r="D569"/>
      <c r="E569"/>
    </row>
    <row r="570" spans="4:5" x14ac:dyDescent="0.25">
      <c r="D570"/>
      <c r="E570"/>
    </row>
    <row r="571" spans="4:5" x14ac:dyDescent="0.25">
      <c r="D571"/>
      <c r="E571"/>
    </row>
    <row r="572" spans="4:5" x14ac:dyDescent="0.25">
      <c r="D572"/>
      <c r="E572"/>
    </row>
    <row r="573" spans="4:5" x14ac:dyDescent="0.25">
      <c r="D573"/>
      <c r="E573"/>
    </row>
    <row r="574" spans="4:5" x14ac:dyDescent="0.25">
      <c r="D574"/>
      <c r="E574"/>
    </row>
    <row r="575" spans="4:5" x14ac:dyDescent="0.25">
      <c r="D575"/>
      <c r="E575"/>
    </row>
    <row r="576" spans="4:5" x14ac:dyDescent="0.25">
      <c r="D576"/>
      <c r="E576"/>
    </row>
    <row r="577" spans="4:5" x14ac:dyDescent="0.25">
      <c r="D577"/>
      <c r="E577"/>
    </row>
    <row r="578" spans="4:5" x14ac:dyDescent="0.25">
      <c r="D578"/>
      <c r="E578"/>
    </row>
    <row r="579" spans="4:5" x14ac:dyDescent="0.25">
      <c r="D579"/>
      <c r="E579"/>
    </row>
    <row r="580" spans="4:5" x14ac:dyDescent="0.25">
      <c r="D580"/>
      <c r="E580"/>
    </row>
    <row r="581" spans="4:5" x14ac:dyDescent="0.25">
      <c r="D581"/>
      <c r="E581"/>
    </row>
    <row r="582" spans="4:5" x14ac:dyDescent="0.25">
      <c r="D582"/>
      <c r="E582"/>
    </row>
    <row r="583" spans="4:5" x14ac:dyDescent="0.25">
      <c r="D583"/>
      <c r="E583"/>
    </row>
    <row r="584" spans="4:5" x14ac:dyDescent="0.25">
      <c r="D584"/>
      <c r="E584"/>
    </row>
    <row r="585" spans="4:5" x14ac:dyDescent="0.25">
      <c r="D585"/>
      <c r="E585"/>
    </row>
    <row r="586" spans="4:5" x14ac:dyDescent="0.25">
      <c r="D586"/>
      <c r="E586"/>
    </row>
    <row r="587" spans="4:5" x14ac:dyDescent="0.25">
      <c r="D587"/>
      <c r="E587"/>
    </row>
    <row r="588" spans="4:5" x14ac:dyDescent="0.25">
      <c r="D588"/>
      <c r="E588"/>
    </row>
    <row r="589" spans="4:5" x14ac:dyDescent="0.25">
      <c r="D589"/>
      <c r="E589"/>
    </row>
    <row r="590" spans="4:5" x14ac:dyDescent="0.25">
      <c r="D590"/>
      <c r="E590"/>
    </row>
    <row r="591" spans="4:5" x14ac:dyDescent="0.25">
      <c r="D591"/>
      <c r="E591"/>
    </row>
    <row r="592" spans="4:5" x14ac:dyDescent="0.25">
      <c r="D592"/>
      <c r="E592"/>
    </row>
    <row r="593" spans="4:5" x14ac:dyDescent="0.25">
      <c r="D593"/>
      <c r="E593"/>
    </row>
    <row r="594" spans="4:5" x14ac:dyDescent="0.25">
      <c r="D594"/>
      <c r="E594"/>
    </row>
    <row r="595" spans="4:5" x14ac:dyDescent="0.25">
      <c r="D595"/>
      <c r="E595"/>
    </row>
    <row r="596" spans="4:5" x14ac:dyDescent="0.25">
      <c r="D596"/>
      <c r="E596"/>
    </row>
    <row r="597" spans="4:5" x14ac:dyDescent="0.25">
      <c r="D597"/>
      <c r="E597"/>
    </row>
    <row r="598" spans="4:5" x14ac:dyDescent="0.25">
      <c r="D598"/>
      <c r="E598"/>
    </row>
    <row r="599" spans="4:5" x14ac:dyDescent="0.25">
      <c r="D599"/>
      <c r="E599"/>
    </row>
    <row r="600" spans="4:5" x14ac:dyDescent="0.25">
      <c r="D600"/>
      <c r="E600"/>
    </row>
    <row r="601" spans="4:5" x14ac:dyDescent="0.25">
      <c r="D601"/>
      <c r="E601"/>
    </row>
    <row r="602" spans="4:5" x14ac:dyDescent="0.25">
      <c r="D602"/>
      <c r="E602"/>
    </row>
    <row r="603" spans="4:5" x14ac:dyDescent="0.25">
      <c r="D603"/>
      <c r="E603"/>
    </row>
    <row r="604" spans="4:5" x14ac:dyDescent="0.25">
      <c r="D604"/>
      <c r="E604"/>
    </row>
    <row r="605" spans="4:5" x14ac:dyDescent="0.25">
      <c r="D605"/>
      <c r="E605"/>
    </row>
    <row r="606" spans="4:5" x14ac:dyDescent="0.25">
      <c r="D606"/>
      <c r="E606"/>
    </row>
    <row r="607" spans="4:5" x14ac:dyDescent="0.25">
      <c r="D607"/>
      <c r="E607"/>
    </row>
    <row r="608" spans="4:5" x14ac:dyDescent="0.25">
      <c r="D608"/>
      <c r="E608"/>
    </row>
    <row r="609" spans="4:5" x14ac:dyDescent="0.25">
      <c r="D609"/>
      <c r="E609"/>
    </row>
    <row r="610" spans="4:5" x14ac:dyDescent="0.25">
      <c r="D610"/>
      <c r="E610"/>
    </row>
    <row r="611" spans="4:5" x14ac:dyDescent="0.25">
      <c r="D611"/>
      <c r="E611"/>
    </row>
    <row r="612" spans="4:5" x14ac:dyDescent="0.25">
      <c r="D612"/>
      <c r="E612"/>
    </row>
    <row r="613" spans="4:5" x14ac:dyDescent="0.25">
      <c r="D613"/>
      <c r="E613"/>
    </row>
    <row r="614" spans="4:5" x14ac:dyDescent="0.25">
      <c r="D614"/>
      <c r="E614"/>
    </row>
    <row r="615" spans="4:5" x14ac:dyDescent="0.25">
      <c r="D615"/>
      <c r="E615"/>
    </row>
    <row r="616" spans="4:5" x14ac:dyDescent="0.25">
      <c r="D616"/>
      <c r="E616"/>
    </row>
    <row r="617" spans="4:5" x14ac:dyDescent="0.25">
      <c r="D617"/>
      <c r="E617"/>
    </row>
    <row r="618" spans="4:5" x14ac:dyDescent="0.25">
      <c r="D618"/>
      <c r="E618"/>
    </row>
    <row r="619" spans="4:5" x14ac:dyDescent="0.25">
      <c r="D619"/>
      <c r="E619"/>
    </row>
    <row r="620" spans="4:5" x14ac:dyDescent="0.25">
      <c r="D620"/>
      <c r="E620"/>
    </row>
    <row r="621" spans="4:5" x14ac:dyDescent="0.25">
      <c r="D621"/>
      <c r="E621"/>
    </row>
    <row r="622" spans="4:5" x14ac:dyDescent="0.25">
      <c r="D622"/>
      <c r="E622"/>
    </row>
    <row r="623" spans="4:5" x14ac:dyDescent="0.25">
      <c r="D623"/>
      <c r="E623"/>
    </row>
    <row r="624" spans="4:5" x14ac:dyDescent="0.25">
      <c r="D624"/>
      <c r="E624"/>
    </row>
    <row r="625" spans="4:5" x14ac:dyDescent="0.25">
      <c r="D625"/>
      <c r="E625"/>
    </row>
    <row r="626" spans="4:5" x14ac:dyDescent="0.25">
      <c r="D626"/>
      <c r="E626"/>
    </row>
    <row r="627" spans="4:5" x14ac:dyDescent="0.25">
      <c r="D627"/>
      <c r="E627"/>
    </row>
    <row r="628" spans="4:5" x14ac:dyDescent="0.25">
      <c r="D628"/>
      <c r="E628"/>
    </row>
    <row r="629" spans="4:5" x14ac:dyDescent="0.25">
      <c r="D629"/>
      <c r="E629"/>
    </row>
    <row r="630" spans="4:5" x14ac:dyDescent="0.25">
      <c r="D630"/>
      <c r="E630"/>
    </row>
    <row r="631" spans="4:5" x14ac:dyDescent="0.25">
      <c r="D631"/>
      <c r="E631"/>
    </row>
    <row r="632" spans="4:5" x14ac:dyDescent="0.25">
      <c r="D632"/>
      <c r="E632"/>
    </row>
    <row r="633" spans="4:5" x14ac:dyDescent="0.25">
      <c r="D633"/>
      <c r="E633"/>
    </row>
    <row r="634" spans="4:5" x14ac:dyDescent="0.25">
      <c r="D634"/>
      <c r="E634"/>
    </row>
    <row r="635" spans="4:5" x14ac:dyDescent="0.25">
      <c r="D635"/>
      <c r="E635"/>
    </row>
    <row r="636" spans="4:5" x14ac:dyDescent="0.25">
      <c r="D636"/>
      <c r="E636"/>
    </row>
    <row r="637" spans="4:5" x14ac:dyDescent="0.25">
      <c r="D637"/>
      <c r="E637"/>
    </row>
    <row r="638" spans="4:5" x14ac:dyDescent="0.25">
      <c r="D638"/>
      <c r="E638"/>
    </row>
    <row r="639" spans="4:5" x14ac:dyDescent="0.25">
      <c r="D639"/>
      <c r="E639"/>
    </row>
    <row r="640" spans="4:5" x14ac:dyDescent="0.25">
      <c r="D640"/>
      <c r="E640"/>
    </row>
    <row r="641" spans="4:5" x14ac:dyDescent="0.25">
      <c r="D641"/>
      <c r="E641"/>
    </row>
    <row r="642" spans="4:5" x14ac:dyDescent="0.25">
      <c r="D642"/>
      <c r="E642"/>
    </row>
    <row r="643" spans="4:5" x14ac:dyDescent="0.25">
      <c r="D643"/>
      <c r="E643"/>
    </row>
    <row r="644" spans="4:5" x14ac:dyDescent="0.25">
      <c r="D644"/>
      <c r="E644"/>
    </row>
    <row r="645" spans="4:5" x14ac:dyDescent="0.25">
      <c r="D645"/>
      <c r="E645"/>
    </row>
    <row r="646" spans="4:5" x14ac:dyDescent="0.25">
      <c r="D646"/>
      <c r="E646"/>
    </row>
    <row r="647" spans="4:5" x14ac:dyDescent="0.25">
      <c r="D647"/>
      <c r="E647"/>
    </row>
    <row r="648" spans="4:5" x14ac:dyDescent="0.25">
      <c r="D648"/>
      <c r="E648"/>
    </row>
    <row r="649" spans="4:5" x14ac:dyDescent="0.25">
      <c r="D649"/>
      <c r="E649"/>
    </row>
    <row r="650" spans="4:5" x14ac:dyDescent="0.25">
      <c r="D650"/>
      <c r="E650"/>
    </row>
    <row r="651" spans="4:5" x14ac:dyDescent="0.25">
      <c r="D651"/>
      <c r="E651"/>
    </row>
    <row r="652" spans="4:5" x14ac:dyDescent="0.25">
      <c r="D652"/>
      <c r="E652"/>
    </row>
    <row r="653" spans="4:5" x14ac:dyDescent="0.25">
      <c r="D653"/>
      <c r="E653"/>
    </row>
    <row r="654" spans="4:5" x14ac:dyDescent="0.25">
      <c r="D654"/>
      <c r="E654"/>
    </row>
    <row r="655" spans="4:5" x14ac:dyDescent="0.25">
      <c r="D655"/>
      <c r="E655"/>
    </row>
    <row r="656" spans="4:5" x14ac:dyDescent="0.25">
      <c r="D656"/>
      <c r="E656"/>
    </row>
    <row r="657" spans="4:5" x14ac:dyDescent="0.25">
      <c r="D657"/>
      <c r="E657"/>
    </row>
    <row r="658" spans="4:5" x14ac:dyDescent="0.25">
      <c r="D658"/>
      <c r="E658"/>
    </row>
    <row r="659" spans="4:5" x14ac:dyDescent="0.25">
      <c r="D659"/>
      <c r="E659"/>
    </row>
    <row r="660" spans="4:5" x14ac:dyDescent="0.25">
      <c r="D660"/>
      <c r="E660"/>
    </row>
    <row r="661" spans="4:5" x14ac:dyDescent="0.25">
      <c r="D661"/>
      <c r="E661"/>
    </row>
    <row r="662" spans="4:5" x14ac:dyDescent="0.25">
      <c r="D662"/>
      <c r="E662"/>
    </row>
    <row r="663" spans="4:5" x14ac:dyDescent="0.25">
      <c r="D663"/>
      <c r="E663"/>
    </row>
    <row r="664" spans="4:5" x14ac:dyDescent="0.25">
      <c r="D664"/>
      <c r="E664"/>
    </row>
    <row r="665" spans="4:5" x14ac:dyDescent="0.25">
      <c r="D665"/>
      <c r="E665"/>
    </row>
    <row r="666" spans="4:5" x14ac:dyDescent="0.25">
      <c r="D666"/>
      <c r="E666"/>
    </row>
    <row r="667" spans="4:5" x14ac:dyDescent="0.25">
      <c r="D667"/>
      <c r="E667"/>
    </row>
    <row r="668" spans="4:5" x14ac:dyDescent="0.25">
      <c r="D668"/>
      <c r="E668"/>
    </row>
    <row r="669" spans="4:5" x14ac:dyDescent="0.25">
      <c r="D669"/>
      <c r="E669"/>
    </row>
    <row r="670" spans="4:5" x14ac:dyDescent="0.25">
      <c r="D670"/>
      <c r="E670"/>
    </row>
    <row r="671" spans="4:5" x14ac:dyDescent="0.25">
      <c r="D671"/>
      <c r="E671"/>
    </row>
    <row r="672" spans="4:5" x14ac:dyDescent="0.25">
      <c r="D672"/>
      <c r="E672"/>
    </row>
    <row r="673" spans="4:5" x14ac:dyDescent="0.25">
      <c r="D673"/>
      <c r="E673"/>
    </row>
    <row r="674" spans="4:5" x14ac:dyDescent="0.25">
      <c r="D674"/>
      <c r="E674"/>
    </row>
    <row r="675" spans="4:5" x14ac:dyDescent="0.25">
      <c r="D675"/>
      <c r="E675"/>
    </row>
    <row r="676" spans="4:5" x14ac:dyDescent="0.25">
      <c r="D676"/>
      <c r="E676"/>
    </row>
    <row r="677" spans="4:5" x14ac:dyDescent="0.25">
      <c r="D677"/>
      <c r="E677"/>
    </row>
    <row r="678" spans="4:5" x14ac:dyDescent="0.25">
      <c r="D678"/>
      <c r="E678"/>
    </row>
    <row r="679" spans="4:5" x14ac:dyDescent="0.25">
      <c r="D679"/>
      <c r="E679"/>
    </row>
    <row r="680" spans="4:5" x14ac:dyDescent="0.25">
      <c r="D680"/>
      <c r="E680"/>
    </row>
    <row r="681" spans="4:5" x14ac:dyDescent="0.25">
      <c r="D681"/>
      <c r="E681"/>
    </row>
    <row r="682" spans="4:5" x14ac:dyDescent="0.25">
      <c r="D682"/>
      <c r="E682"/>
    </row>
    <row r="683" spans="4:5" x14ac:dyDescent="0.25">
      <c r="D683"/>
      <c r="E683"/>
    </row>
    <row r="684" spans="4:5" x14ac:dyDescent="0.25">
      <c r="D684"/>
      <c r="E684"/>
    </row>
    <row r="685" spans="4:5" x14ac:dyDescent="0.25">
      <c r="D685"/>
      <c r="E685"/>
    </row>
    <row r="686" spans="4:5" x14ac:dyDescent="0.25">
      <c r="D686"/>
      <c r="E686"/>
    </row>
    <row r="687" spans="4:5" x14ac:dyDescent="0.25">
      <c r="D687"/>
      <c r="E687"/>
    </row>
    <row r="688" spans="4:5" x14ac:dyDescent="0.25">
      <c r="D688"/>
      <c r="E688"/>
    </row>
    <row r="689" spans="4:5" x14ac:dyDescent="0.25">
      <c r="D689"/>
      <c r="E689"/>
    </row>
    <row r="690" spans="4:5" x14ac:dyDescent="0.25">
      <c r="D690"/>
      <c r="E690"/>
    </row>
    <row r="691" spans="4:5" x14ac:dyDescent="0.25">
      <c r="D691"/>
      <c r="E691"/>
    </row>
    <row r="692" spans="4:5" x14ac:dyDescent="0.25">
      <c r="D692"/>
      <c r="E692"/>
    </row>
    <row r="693" spans="4:5" x14ac:dyDescent="0.25">
      <c r="D693"/>
      <c r="E693"/>
    </row>
    <row r="694" spans="4:5" x14ac:dyDescent="0.25">
      <c r="D694"/>
      <c r="E694"/>
    </row>
    <row r="695" spans="4:5" x14ac:dyDescent="0.25">
      <c r="D695"/>
      <c r="E695"/>
    </row>
    <row r="696" spans="4:5" x14ac:dyDescent="0.25">
      <c r="D696"/>
      <c r="E696"/>
    </row>
    <row r="697" spans="4:5" x14ac:dyDescent="0.25">
      <c r="D697"/>
      <c r="E697"/>
    </row>
    <row r="698" spans="4:5" x14ac:dyDescent="0.25">
      <c r="D698"/>
      <c r="E698"/>
    </row>
    <row r="699" spans="4:5" x14ac:dyDescent="0.25">
      <c r="D699"/>
      <c r="E699"/>
    </row>
    <row r="700" spans="4:5" x14ac:dyDescent="0.25">
      <c r="D700"/>
      <c r="E700"/>
    </row>
    <row r="701" spans="4:5" x14ac:dyDescent="0.25">
      <c r="D701"/>
      <c r="E701"/>
    </row>
    <row r="702" spans="4:5" x14ac:dyDescent="0.25">
      <c r="D702"/>
      <c r="E702"/>
    </row>
    <row r="703" spans="4:5" x14ac:dyDescent="0.25">
      <c r="D703"/>
      <c r="E703"/>
    </row>
    <row r="704" spans="4:5" x14ac:dyDescent="0.25">
      <c r="D704"/>
      <c r="E704"/>
    </row>
    <row r="705" spans="4:5" x14ac:dyDescent="0.25">
      <c r="D705"/>
      <c r="E705"/>
    </row>
    <row r="706" spans="4:5" x14ac:dyDescent="0.25">
      <c r="D706"/>
      <c r="E706"/>
    </row>
    <row r="707" spans="4:5" x14ac:dyDescent="0.25">
      <c r="D707"/>
      <c r="E707"/>
    </row>
    <row r="708" spans="4:5" x14ac:dyDescent="0.25">
      <c r="D708"/>
      <c r="E708"/>
    </row>
    <row r="709" spans="4:5" x14ac:dyDescent="0.25">
      <c r="D709"/>
      <c r="E709"/>
    </row>
    <row r="710" spans="4:5" x14ac:dyDescent="0.25">
      <c r="D710"/>
      <c r="E710"/>
    </row>
    <row r="711" spans="4:5" x14ac:dyDescent="0.25">
      <c r="D711"/>
      <c r="E711"/>
    </row>
    <row r="712" spans="4:5" x14ac:dyDescent="0.25">
      <c r="D712"/>
      <c r="E712"/>
    </row>
    <row r="713" spans="4:5" x14ac:dyDescent="0.25">
      <c r="D713"/>
      <c r="E713"/>
    </row>
    <row r="714" spans="4:5" x14ac:dyDescent="0.25">
      <c r="D714"/>
      <c r="E714"/>
    </row>
    <row r="715" spans="4:5" x14ac:dyDescent="0.25">
      <c r="D715"/>
      <c r="E715"/>
    </row>
    <row r="716" spans="4:5" x14ac:dyDescent="0.25">
      <c r="D716"/>
      <c r="E716"/>
    </row>
    <row r="717" spans="4:5" x14ac:dyDescent="0.25">
      <c r="D717"/>
      <c r="E717"/>
    </row>
    <row r="718" spans="4:5" x14ac:dyDescent="0.25">
      <c r="D718"/>
      <c r="E718"/>
    </row>
    <row r="719" spans="4:5" x14ac:dyDescent="0.25">
      <c r="D719"/>
      <c r="E719"/>
    </row>
    <row r="720" spans="4:5" x14ac:dyDescent="0.25">
      <c r="D720"/>
      <c r="E720"/>
    </row>
    <row r="721" spans="4:5" x14ac:dyDescent="0.25">
      <c r="D721"/>
      <c r="E721"/>
    </row>
    <row r="722" spans="4:5" x14ac:dyDescent="0.25">
      <c r="D722"/>
      <c r="E722"/>
    </row>
    <row r="723" spans="4:5" x14ac:dyDescent="0.25">
      <c r="D723"/>
      <c r="E723"/>
    </row>
    <row r="724" spans="4:5" x14ac:dyDescent="0.25">
      <c r="D724"/>
      <c r="E724"/>
    </row>
    <row r="725" spans="4:5" x14ac:dyDescent="0.25">
      <c r="D725"/>
      <c r="E725"/>
    </row>
    <row r="726" spans="4:5" x14ac:dyDescent="0.25">
      <c r="D726"/>
      <c r="E726"/>
    </row>
    <row r="727" spans="4:5" x14ac:dyDescent="0.25">
      <c r="D727"/>
      <c r="E727"/>
    </row>
    <row r="728" spans="4:5" x14ac:dyDescent="0.25">
      <c r="D728"/>
      <c r="E728"/>
    </row>
    <row r="729" spans="4:5" x14ac:dyDescent="0.25">
      <c r="D729"/>
      <c r="E729"/>
    </row>
    <row r="730" spans="4:5" x14ac:dyDescent="0.25">
      <c r="D730"/>
      <c r="E730"/>
    </row>
    <row r="731" spans="4:5" x14ac:dyDescent="0.25">
      <c r="D731"/>
      <c r="E731"/>
    </row>
    <row r="732" spans="4:5" x14ac:dyDescent="0.25">
      <c r="D732"/>
      <c r="E732"/>
    </row>
    <row r="733" spans="4:5" x14ac:dyDescent="0.25">
      <c r="D733"/>
      <c r="E733"/>
    </row>
    <row r="734" spans="4:5" x14ac:dyDescent="0.25">
      <c r="D734"/>
      <c r="E734"/>
    </row>
    <row r="735" spans="4:5" x14ac:dyDescent="0.25">
      <c r="D735"/>
      <c r="E735"/>
    </row>
    <row r="736" spans="4:5" x14ac:dyDescent="0.25">
      <c r="D736"/>
      <c r="E736"/>
    </row>
    <row r="737" spans="4:5" x14ac:dyDescent="0.25">
      <c r="D737"/>
      <c r="E737"/>
    </row>
    <row r="738" spans="4:5" x14ac:dyDescent="0.25">
      <c r="D738"/>
      <c r="E738"/>
    </row>
    <row r="739" spans="4:5" x14ac:dyDescent="0.25">
      <c r="D739"/>
      <c r="E739"/>
    </row>
    <row r="740" spans="4:5" x14ac:dyDescent="0.25">
      <c r="D740"/>
      <c r="E740"/>
    </row>
    <row r="741" spans="4:5" x14ac:dyDescent="0.25">
      <c r="D741"/>
      <c r="E741"/>
    </row>
    <row r="742" spans="4:5" x14ac:dyDescent="0.25">
      <c r="D742"/>
      <c r="E742"/>
    </row>
    <row r="743" spans="4:5" x14ac:dyDescent="0.25">
      <c r="D743"/>
      <c r="E743"/>
    </row>
    <row r="744" spans="4:5" x14ac:dyDescent="0.25">
      <c r="D744"/>
      <c r="E744"/>
    </row>
    <row r="745" spans="4:5" x14ac:dyDescent="0.25">
      <c r="D745"/>
      <c r="E745"/>
    </row>
    <row r="746" spans="4:5" x14ac:dyDescent="0.25">
      <c r="D746"/>
      <c r="E746"/>
    </row>
    <row r="747" spans="4:5" x14ac:dyDescent="0.25">
      <c r="D747"/>
      <c r="E747"/>
    </row>
    <row r="748" spans="4:5" x14ac:dyDescent="0.25">
      <c r="D748"/>
      <c r="E748"/>
    </row>
    <row r="749" spans="4:5" x14ac:dyDescent="0.25">
      <c r="D749"/>
      <c r="E749"/>
    </row>
    <row r="750" spans="4:5" x14ac:dyDescent="0.25">
      <c r="D750"/>
      <c r="E750"/>
    </row>
    <row r="751" spans="4:5" x14ac:dyDescent="0.25">
      <c r="D751"/>
      <c r="E751"/>
    </row>
    <row r="752" spans="4:5" x14ac:dyDescent="0.25">
      <c r="D752"/>
      <c r="E752"/>
    </row>
    <row r="753" spans="4:5" x14ac:dyDescent="0.25">
      <c r="D753"/>
      <c r="E753"/>
    </row>
    <row r="754" spans="4:5" x14ac:dyDescent="0.25">
      <c r="D754"/>
      <c r="E754"/>
    </row>
    <row r="755" spans="4:5" x14ac:dyDescent="0.25">
      <c r="D755"/>
      <c r="E755"/>
    </row>
    <row r="756" spans="4:5" x14ac:dyDescent="0.25">
      <c r="D756"/>
      <c r="E756"/>
    </row>
    <row r="757" spans="4:5" x14ac:dyDescent="0.25">
      <c r="D757"/>
      <c r="E757"/>
    </row>
    <row r="758" spans="4:5" x14ac:dyDescent="0.25">
      <c r="D758"/>
      <c r="E758"/>
    </row>
    <row r="759" spans="4:5" x14ac:dyDescent="0.25">
      <c r="D759"/>
      <c r="E759"/>
    </row>
    <row r="760" spans="4:5" x14ac:dyDescent="0.25">
      <c r="D760"/>
      <c r="E760"/>
    </row>
    <row r="761" spans="4:5" x14ac:dyDescent="0.25">
      <c r="D761"/>
      <c r="E761"/>
    </row>
    <row r="762" spans="4:5" x14ac:dyDescent="0.25">
      <c r="D762"/>
      <c r="E762"/>
    </row>
    <row r="763" spans="4:5" x14ac:dyDescent="0.25">
      <c r="D763"/>
      <c r="E763"/>
    </row>
    <row r="764" spans="4:5" x14ac:dyDescent="0.25">
      <c r="D764"/>
      <c r="E764"/>
    </row>
    <row r="765" spans="4:5" x14ac:dyDescent="0.25">
      <c r="D765"/>
      <c r="E765"/>
    </row>
    <row r="766" spans="4:5" x14ac:dyDescent="0.25">
      <c r="D766"/>
      <c r="E766"/>
    </row>
    <row r="767" spans="4:5" x14ac:dyDescent="0.25">
      <c r="D767"/>
      <c r="E767"/>
    </row>
    <row r="768" spans="4:5" x14ac:dyDescent="0.25">
      <c r="D768"/>
      <c r="E768"/>
    </row>
    <row r="769" spans="4:5" x14ac:dyDescent="0.25">
      <c r="D769"/>
      <c r="E769"/>
    </row>
    <row r="770" spans="4:5" x14ac:dyDescent="0.25">
      <c r="D770"/>
      <c r="E770"/>
    </row>
    <row r="771" spans="4:5" x14ac:dyDescent="0.25">
      <c r="D771"/>
      <c r="E771"/>
    </row>
    <row r="772" spans="4:5" x14ac:dyDescent="0.25">
      <c r="D772"/>
      <c r="E772"/>
    </row>
    <row r="773" spans="4:5" x14ac:dyDescent="0.25">
      <c r="D773"/>
      <c r="E773"/>
    </row>
    <row r="774" spans="4:5" x14ac:dyDescent="0.25">
      <c r="D774"/>
      <c r="E774"/>
    </row>
    <row r="775" spans="4:5" x14ac:dyDescent="0.25">
      <c r="D775"/>
      <c r="E775"/>
    </row>
    <row r="776" spans="4:5" x14ac:dyDescent="0.25">
      <c r="D776"/>
      <c r="E776"/>
    </row>
    <row r="777" spans="4:5" x14ac:dyDescent="0.25">
      <c r="D777"/>
      <c r="E777"/>
    </row>
    <row r="778" spans="4:5" x14ac:dyDescent="0.25">
      <c r="D778"/>
      <c r="E778"/>
    </row>
    <row r="779" spans="4:5" x14ac:dyDescent="0.25">
      <c r="D779"/>
      <c r="E779"/>
    </row>
    <row r="780" spans="4:5" x14ac:dyDescent="0.25">
      <c r="D780"/>
      <c r="E780"/>
    </row>
    <row r="781" spans="4:5" x14ac:dyDescent="0.25">
      <c r="D781"/>
      <c r="E781"/>
    </row>
    <row r="782" spans="4:5" x14ac:dyDescent="0.25">
      <c r="D782"/>
      <c r="E782"/>
    </row>
    <row r="783" spans="4:5" x14ac:dyDescent="0.25">
      <c r="D783"/>
      <c r="E783"/>
    </row>
    <row r="784" spans="4:5" x14ac:dyDescent="0.25">
      <c r="D784"/>
      <c r="E784"/>
    </row>
    <row r="785" spans="4:5" x14ac:dyDescent="0.25">
      <c r="D785"/>
      <c r="E785"/>
    </row>
    <row r="786" spans="4:5" x14ac:dyDescent="0.25">
      <c r="D786"/>
      <c r="E786"/>
    </row>
    <row r="787" spans="4:5" x14ac:dyDescent="0.25">
      <c r="D787"/>
      <c r="E787"/>
    </row>
    <row r="788" spans="4:5" x14ac:dyDescent="0.25">
      <c r="D788"/>
      <c r="E788"/>
    </row>
    <row r="789" spans="4:5" x14ac:dyDescent="0.25">
      <c r="D789"/>
      <c r="E789"/>
    </row>
    <row r="790" spans="4:5" x14ac:dyDescent="0.25">
      <c r="D790"/>
      <c r="E790"/>
    </row>
    <row r="791" spans="4:5" x14ac:dyDescent="0.25">
      <c r="D791"/>
      <c r="E791"/>
    </row>
    <row r="792" spans="4:5" x14ac:dyDescent="0.25">
      <c r="D792"/>
      <c r="E792"/>
    </row>
    <row r="793" spans="4:5" x14ac:dyDescent="0.25">
      <c r="D793"/>
      <c r="E793"/>
    </row>
    <row r="794" spans="4:5" x14ac:dyDescent="0.25">
      <c r="D794"/>
      <c r="E794"/>
    </row>
    <row r="795" spans="4:5" x14ac:dyDescent="0.25">
      <c r="D795"/>
      <c r="E795"/>
    </row>
    <row r="796" spans="4:5" x14ac:dyDescent="0.25">
      <c r="D796"/>
      <c r="E796"/>
    </row>
    <row r="797" spans="4:5" x14ac:dyDescent="0.25">
      <c r="D797"/>
      <c r="E797"/>
    </row>
    <row r="798" spans="4:5" x14ac:dyDescent="0.25">
      <c r="D798"/>
      <c r="E798"/>
    </row>
    <row r="799" spans="4:5" x14ac:dyDescent="0.25">
      <c r="D799"/>
      <c r="E799"/>
    </row>
    <row r="800" spans="4:5" x14ac:dyDescent="0.25">
      <c r="D800"/>
      <c r="E800"/>
    </row>
    <row r="801" spans="4:5" x14ac:dyDescent="0.25">
      <c r="D801"/>
      <c r="E801"/>
    </row>
    <row r="802" spans="4:5" x14ac:dyDescent="0.25">
      <c r="D802"/>
      <c r="E802"/>
    </row>
    <row r="803" spans="4:5" x14ac:dyDescent="0.25">
      <c r="D803"/>
      <c r="E803"/>
    </row>
    <row r="804" spans="4:5" x14ac:dyDescent="0.25">
      <c r="D804"/>
      <c r="E804"/>
    </row>
    <row r="805" spans="4:5" x14ac:dyDescent="0.25">
      <c r="D805"/>
      <c r="E805"/>
    </row>
    <row r="806" spans="4:5" x14ac:dyDescent="0.25">
      <c r="D806"/>
      <c r="E806"/>
    </row>
    <row r="807" spans="4:5" x14ac:dyDescent="0.25">
      <c r="D807"/>
      <c r="E807"/>
    </row>
    <row r="808" spans="4:5" x14ac:dyDescent="0.25">
      <c r="D808"/>
      <c r="E808"/>
    </row>
    <row r="809" spans="4:5" x14ac:dyDescent="0.25">
      <c r="D809"/>
      <c r="E809"/>
    </row>
    <row r="810" spans="4:5" x14ac:dyDescent="0.25">
      <c r="D810"/>
      <c r="E810"/>
    </row>
    <row r="811" spans="4:5" x14ac:dyDescent="0.25">
      <c r="D811"/>
      <c r="E811"/>
    </row>
    <row r="812" spans="4:5" x14ac:dyDescent="0.25">
      <c r="D812"/>
      <c r="E812"/>
    </row>
    <row r="813" spans="4:5" x14ac:dyDescent="0.25">
      <c r="D813"/>
      <c r="E813"/>
    </row>
    <row r="814" spans="4:5" x14ac:dyDescent="0.25">
      <c r="D814"/>
      <c r="E814"/>
    </row>
    <row r="815" spans="4:5" x14ac:dyDescent="0.25">
      <c r="D815"/>
      <c r="E815"/>
    </row>
    <row r="816" spans="4:5" x14ac:dyDescent="0.25">
      <c r="D816"/>
      <c r="E816"/>
    </row>
    <row r="817" spans="4:5" x14ac:dyDescent="0.25">
      <c r="D817"/>
      <c r="E817"/>
    </row>
    <row r="818" spans="4:5" x14ac:dyDescent="0.25">
      <c r="D818"/>
      <c r="E818"/>
    </row>
    <row r="819" spans="4:5" x14ac:dyDescent="0.25">
      <c r="D819"/>
      <c r="E819"/>
    </row>
    <row r="820" spans="4:5" x14ac:dyDescent="0.25">
      <c r="D820"/>
      <c r="E820"/>
    </row>
    <row r="821" spans="4:5" x14ac:dyDescent="0.25">
      <c r="D821"/>
      <c r="E821"/>
    </row>
    <row r="822" spans="4:5" x14ac:dyDescent="0.25">
      <c r="D822"/>
      <c r="E822"/>
    </row>
    <row r="823" spans="4:5" x14ac:dyDescent="0.25">
      <c r="D823"/>
      <c r="E823"/>
    </row>
    <row r="824" spans="4:5" x14ac:dyDescent="0.25">
      <c r="D824"/>
      <c r="E824"/>
    </row>
    <row r="825" spans="4:5" x14ac:dyDescent="0.25">
      <c r="D825"/>
      <c r="E825"/>
    </row>
    <row r="826" spans="4:5" x14ac:dyDescent="0.25">
      <c r="D826"/>
      <c r="E826"/>
    </row>
    <row r="827" spans="4:5" x14ac:dyDescent="0.25">
      <c r="D827"/>
      <c r="E827"/>
    </row>
    <row r="828" spans="4:5" x14ac:dyDescent="0.25">
      <c r="D828"/>
      <c r="E828"/>
    </row>
    <row r="829" spans="4:5" x14ac:dyDescent="0.25">
      <c r="D829"/>
      <c r="E829"/>
    </row>
    <row r="830" spans="4:5" x14ac:dyDescent="0.25">
      <c r="D830"/>
      <c r="E830"/>
    </row>
    <row r="831" spans="4:5" x14ac:dyDescent="0.25">
      <c r="D831"/>
      <c r="E831"/>
    </row>
    <row r="832" spans="4:5" x14ac:dyDescent="0.25">
      <c r="D832"/>
      <c r="E832"/>
    </row>
    <row r="833" spans="4:5" x14ac:dyDescent="0.25">
      <c r="D833"/>
      <c r="E833"/>
    </row>
    <row r="834" spans="4:5" x14ac:dyDescent="0.25">
      <c r="D834"/>
      <c r="E834"/>
    </row>
    <row r="835" spans="4:5" x14ac:dyDescent="0.25">
      <c r="D835"/>
      <c r="E835"/>
    </row>
    <row r="836" spans="4:5" x14ac:dyDescent="0.25">
      <c r="D836"/>
      <c r="E836"/>
    </row>
    <row r="837" spans="4:5" x14ac:dyDescent="0.25">
      <c r="D837"/>
      <c r="E837"/>
    </row>
    <row r="838" spans="4:5" x14ac:dyDescent="0.25">
      <c r="D838"/>
      <c r="E838"/>
    </row>
    <row r="839" spans="4:5" x14ac:dyDescent="0.25">
      <c r="D839"/>
      <c r="E839"/>
    </row>
    <row r="840" spans="4:5" x14ac:dyDescent="0.25">
      <c r="D840"/>
      <c r="E840"/>
    </row>
    <row r="841" spans="4:5" x14ac:dyDescent="0.25">
      <c r="D841"/>
      <c r="E841"/>
    </row>
    <row r="842" spans="4:5" x14ac:dyDescent="0.25">
      <c r="D842"/>
      <c r="E842"/>
    </row>
    <row r="843" spans="4:5" x14ac:dyDescent="0.25">
      <c r="D843"/>
      <c r="E843"/>
    </row>
    <row r="844" spans="4:5" x14ac:dyDescent="0.25">
      <c r="D844"/>
      <c r="E844"/>
    </row>
    <row r="845" spans="4:5" x14ac:dyDescent="0.25">
      <c r="D845"/>
      <c r="E845"/>
    </row>
    <row r="846" spans="4:5" x14ac:dyDescent="0.25">
      <c r="D846"/>
      <c r="E846"/>
    </row>
    <row r="847" spans="4:5" x14ac:dyDescent="0.25">
      <c r="D847"/>
      <c r="E847"/>
    </row>
    <row r="848" spans="4:5" x14ac:dyDescent="0.25">
      <c r="D848"/>
      <c r="E848"/>
    </row>
    <row r="849" spans="4:5" x14ac:dyDescent="0.25">
      <c r="D849"/>
      <c r="E849"/>
    </row>
    <row r="850" spans="4:5" x14ac:dyDescent="0.25">
      <c r="D850"/>
      <c r="E850"/>
    </row>
    <row r="851" spans="4:5" x14ac:dyDescent="0.25">
      <c r="D851"/>
      <c r="E851"/>
    </row>
    <row r="852" spans="4:5" x14ac:dyDescent="0.25">
      <c r="D852"/>
      <c r="E852"/>
    </row>
    <row r="853" spans="4:5" x14ac:dyDescent="0.25">
      <c r="D853"/>
      <c r="E853"/>
    </row>
    <row r="854" spans="4:5" x14ac:dyDescent="0.25">
      <c r="D854"/>
      <c r="E854"/>
    </row>
    <row r="855" spans="4:5" x14ac:dyDescent="0.25">
      <c r="D855"/>
      <c r="E855"/>
    </row>
    <row r="856" spans="4:5" x14ac:dyDescent="0.25">
      <c r="D856"/>
      <c r="E856"/>
    </row>
    <row r="857" spans="4:5" x14ac:dyDescent="0.25">
      <c r="D857"/>
      <c r="E857"/>
    </row>
    <row r="858" spans="4:5" x14ac:dyDescent="0.25">
      <c r="D858"/>
      <c r="E858"/>
    </row>
    <row r="859" spans="4:5" x14ac:dyDescent="0.25">
      <c r="D859"/>
      <c r="E859"/>
    </row>
    <row r="860" spans="4:5" x14ac:dyDescent="0.25">
      <c r="D860"/>
      <c r="E860"/>
    </row>
    <row r="861" spans="4:5" x14ac:dyDescent="0.25">
      <c r="D861"/>
      <c r="E861"/>
    </row>
    <row r="862" spans="4:5" x14ac:dyDescent="0.25">
      <c r="D862"/>
      <c r="E862"/>
    </row>
    <row r="863" spans="4:5" x14ac:dyDescent="0.25">
      <c r="D863"/>
      <c r="E863"/>
    </row>
    <row r="864" spans="4:5" x14ac:dyDescent="0.25">
      <c r="D864"/>
      <c r="E864"/>
    </row>
    <row r="865" spans="4:5" x14ac:dyDescent="0.25">
      <c r="D865"/>
      <c r="E865"/>
    </row>
    <row r="866" spans="4:5" x14ac:dyDescent="0.25">
      <c r="D866"/>
      <c r="E866"/>
    </row>
    <row r="867" spans="4:5" x14ac:dyDescent="0.25">
      <c r="D867"/>
      <c r="E867"/>
    </row>
    <row r="868" spans="4:5" x14ac:dyDescent="0.25">
      <c r="D868"/>
      <c r="E868"/>
    </row>
    <row r="869" spans="4:5" x14ac:dyDescent="0.25">
      <c r="D869"/>
      <c r="E869"/>
    </row>
    <row r="870" spans="4:5" x14ac:dyDescent="0.25">
      <c r="D870"/>
      <c r="E870"/>
    </row>
    <row r="871" spans="4:5" x14ac:dyDescent="0.25">
      <c r="D871"/>
      <c r="E871"/>
    </row>
    <row r="872" spans="4:5" x14ac:dyDescent="0.25">
      <c r="D872"/>
      <c r="E872"/>
    </row>
    <row r="873" spans="4:5" x14ac:dyDescent="0.25">
      <c r="D873"/>
      <c r="E873"/>
    </row>
    <row r="874" spans="4:5" x14ac:dyDescent="0.25">
      <c r="D874"/>
      <c r="E874"/>
    </row>
    <row r="875" spans="4:5" x14ac:dyDescent="0.25">
      <c r="D875"/>
      <c r="E875"/>
    </row>
    <row r="876" spans="4:5" x14ac:dyDescent="0.25">
      <c r="D876"/>
      <c r="E876"/>
    </row>
    <row r="877" spans="4:5" x14ac:dyDescent="0.25">
      <c r="D877"/>
      <c r="E877"/>
    </row>
    <row r="878" spans="4:5" x14ac:dyDescent="0.25">
      <c r="D878"/>
      <c r="E878"/>
    </row>
    <row r="879" spans="4:5" x14ac:dyDescent="0.25">
      <c r="D879"/>
      <c r="E879"/>
    </row>
    <row r="880" spans="4:5" x14ac:dyDescent="0.25">
      <c r="D880"/>
      <c r="E880"/>
    </row>
    <row r="881" spans="4:5" x14ac:dyDescent="0.25">
      <c r="D881"/>
      <c r="E881"/>
    </row>
    <row r="882" spans="4:5" x14ac:dyDescent="0.25">
      <c r="D882"/>
      <c r="E882"/>
    </row>
    <row r="883" spans="4:5" x14ac:dyDescent="0.25">
      <c r="D883"/>
      <c r="E883"/>
    </row>
    <row r="884" spans="4:5" x14ac:dyDescent="0.25">
      <c r="D884"/>
      <c r="E884"/>
    </row>
    <row r="885" spans="4:5" x14ac:dyDescent="0.25">
      <c r="D885"/>
      <c r="E885"/>
    </row>
    <row r="886" spans="4:5" x14ac:dyDescent="0.25">
      <c r="D886"/>
      <c r="E886"/>
    </row>
    <row r="887" spans="4:5" x14ac:dyDescent="0.25">
      <c r="D887"/>
      <c r="E887"/>
    </row>
    <row r="888" spans="4:5" x14ac:dyDescent="0.25">
      <c r="D888"/>
      <c r="E888"/>
    </row>
    <row r="889" spans="4:5" x14ac:dyDescent="0.25">
      <c r="D889"/>
      <c r="E889"/>
    </row>
    <row r="890" spans="4:5" x14ac:dyDescent="0.25">
      <c r="D890"/>
      <c r="E890"/>
    </row>
    <row r="891" spans="4:5" x14ac:dyDescent="0.25">
      <c r="D891"/>
      <c r="E891"/>
    </row>
    <row r="892" spans="4:5" x14ac:dyDescent="0.25">
      <c r="D892"/>
      <c r="E892"/>
    </row>
    <row r="893" spans="4:5" x14ac:dyDescent="0.25">
      <c r="D893"/>
      <c r="E893"/>
    </row>
    <row r="894" spans="4:5" x14ac:dyDescent="0.25">
      <c r="D894"/>
      <c r="E894"/>
    </row>
    <row r="895" spans="4:5" x14ac:dyDescent="0.25">
      <c r="D895"/>
      <c r="E895"/>
    </row>
    <row r="896" spans="4:5" x14ac:dyDescent="0.25">
      <c r="D896"/>
      <c r="E896"/>
    </row>
    <row r="897" spans="4:5" x14ac:dyDescent="0.25">
      <c r="D897"/>
      <c r="E897"/>
    </row>
    <row r="898" spans="4:5" x14ac:dyDescent="0.25">
      <c r="D898"/>
      <c r="E898"/>
    </row>
    <row r="899" spans="4:5" x14ac:dyDescent="0.25">
      <c r="D899"/>
      <c r="E899"/>
    </row>
    <row r="900" spans="4:5" x14ac:dyDescent="0.25">
      <c r="D900"/>
      <c r="E900"/>
    </row>
    <row r="901" spans="4:5" x14ac:dyDescent="0.25">
      <c r="D901"/>
      <c r="E901"/>
    </row>
    <row r="902" spans="4:5" x14ac:dyDescent="0.25">
      <c r="D902"/>
      <c r="E902"/>
    </row>
    <row r="903" spans="4:5" x14ac:dyDescent="0.25">
      <c r="D903"/>
      <c r="E903"/>
    </row>
    <row r="904" spans="4:5" x14ac:dyDescent="0.25">
      <c r="D904"/>
      <c r="E904"/>
    </row>
    <row r="905" spans="4:5" x14ac:dyDescent="0.25">
      <c r="D905"/>
      <c r="E905"/>
    </row>
    <row r="906" spans="4:5" x14ac:dyDescent="0.25">
      <c r="D906"/>
      <c r="E906"/>
    </row>
    <row r="907" spans="4:5" x14ac:dyDescent="0.25">
      <c r="D907"/>
      <c r="E907"/>
    </row>
    <row r="908" spans="4:5" x14ac:dyDescent="0.25">
      <c r="D908"/>
      <c r="E908"/>
    </row>
    <row r="909" spans="4:5" x14ac:dyDescent="0.25">
      <c r="D909"/>
      <c r="E909"/>
    </row>
    <row r="910" spans="4:5" x14ac:dyDescent="0.25">
      <c r="D910"/>
      <c r="E910"/>
    </row>
    <row r="911" spans="4:5" x14ac:dyDescent="0.25">
      <c r="D911"/>
      <c r="E911"/>
    </row>
    <row r="912" spans="4:5" x14ac:dyDescent="0.25">
      <c r="D912"/>
      <c r="E912"/>
    </row>
    <row r="913" spans="4:5" x14ac:dyDescent="0.25">
      <c r="D913"/>
      <c r="E913"/>
    </row>
    <row r="914" spans="4:5" x14ac:dyDescent="0.25">
      <c r="D914"/>
      <c r="E914"/>
    </row>
    <row r="915" spans="4:5" x14ac:dyDescent="0.25">
      <c r="D915"/>
      <c r="E915"/>
    </row>
    <row r="916" spans="4:5" x14ac:dyDescent="0.25">
      <c r="D916"/>
      <c r="E916"/>
    </row>
    <row r="917" spans="4:5" x14ac:dyDescent="0.25">
      <c r="D917"/>
      <c r="E917"/>
    </row>
    <row r="918" spans="4:5" x14ac:dyDescent="0.25">
      <c r="D918"/>
      <c r="E918"/>
    </row>
    <row r="919" spans="4:5" x14ac:dyDescent="0.25">
      <c r="D919"/>
      <c r="E919"/>
    </row>
    <row r="920" spans="4:5" x14ac:dyDescent="0.25">
      <c r="D920"/>
      <c r="E920"/>
    </row>
    <row r="921" spans="4:5" x14ac:dyDescent="0.25">
      <c r="D921"/>
      <c r="E921"/>
    </row>
    <row r="922" spans="4:5" x14ac:dyDescent="0.25">
      <c r="D922"/>
      <c r="E922"/>
    </row>
    <row r="923" spans="4:5" x14ac:dyDescent="0.25">
      <c r="D923"/>
      <c r="E923"/>
    </row>
    <row r="924" spans="4:5" x14ac:dyDescent="0.25">
      <c r="D924"/>
      <c r="E924"/>
    </row>
    <row r="925" spans="4:5" x14ac:dyDescent="0.25">
      <c r="D925"/>
      <c r="E925"/>
    </row>
    <row r="926" spans="4:5" x14ac:dyDescent="0.25">
      <c r="D926"/>
      <c r="E926"/>
    </row>
    <row r="927" spans="4:5" x14ac:dyDescent="0.25">
      <c r="D927"/>
      <c r="E927"/>
    </row>
    <row r="928" spans="4:5" x14ac:dyDescent="0.25">
      <c r="D928"/>
      <c r="E928"/>
    </row>
    <row r="929" spans="4:5" x14ac:dyDescent="0.25">
      <c r="D929"/>
      <c r="E929"/>
    </row>
    <row r="930" spans="4:5" x14ac:dyDescent="0.25">
      <c r="D930"/>
      <c r="E930"/>
    </row>
    <row r="931" spans="4:5" x14ac:dyDescent="0.25">
      <c r="D931"/>
      <c r="E931"/>
    </row>
    <row r="932" spans="4:5" x14ac:dyDescent="0.25">
      <c r="D932"/>
      <c r="E932"/>
    </row>
    <row r="933" spans="4:5" x14ac:dyDescent="0.25">
      <c r="D933"/>
      <c r="E933"/>
    </row>
    <row r="934" spans="4:5" x14ac:dyDescent="0.25">
      <c r="D934"/>
      <c r="E934"/>
    </row>
    <row r="935" spans="4:5" x14ac:dyDescent="0.25">
      <c r="D935"/>
      <c r="E935"/>
    </row>
    <row r="936" spans="4:5" x14ac:dyDescent="0.25">
      <c r="D936"/>
      <c r="E936"/>
    </row>
    <row r="937" spans="4:5" x14ac:dyDescent="0.25">
      <c r="D937"/>
      <c r="E937"/>
    </row>
    <row r="938" spans="4:5" x14ac:dyDescent="0.25">
      <c r="D938"/>
      <c r="E938"/>
    </row>
    <row r="939" spans="4:5" x14ac:dyDescent="0.25">
      <c r="D939"/>
      <c r="E939"/>
    </row>
    <row r="940" spans="4:5" x14ac:dyDescent="0.25">
      <c r="D940"/>
      <c r="E940"/>
    </row>
    <row r="941" spans="4:5" x14ac:dyDescent="0.25">
      <c r="D941"/>
      <c r="E941"/>
    </row>
    <row r="942" spans="4:5" x14ac:dyDescent="0.25">
      <c r="D942"/>
      <c r="E942"/>
    </row>
    <row r="943" spans="4:5" x14ac:dyDescent="0.25">
      <c r="D943"/>
      <c r="E943"/>
    </row>
    <row r="944" spans="4:5" x14ac:dyDescent="0.25">
      <c r="D944"/>
      <c r="E944"/>
    </row>
    <row r="945" spans="4:5" x14ac:dyDescent="0.25">
      <c r="D945"/>
      <c r="E945"/>
    </row>
    <row r="946" spans="4:5" x14ac:dyDescent="0.25">
      <c r="D946"/>
      <c r="E946"/>
    </row>
    <row r="947" spans="4:5" x14ac:dyDescent="0.25">
      <c r="D947"/>
      <c r="E947"/>
    </row>
    <row r="948" spans="4:5" x14ac:dyDescent="0.25">
      <c r="D948"/>
      <c r="E948"/>
    </row>
    <row r="949" spans="4:5" x14ac:dyDescent="0.25">
      <c r="D949"/>
      <c r="E949"/>
    </row>
    <row r="950" spans="4:5" x14ac:dyDescent="0.25">
      <c r="D950"/>
      <c r="E950"/>
    </row>
    <row r="951" spans="4:5" x14ac:dyDescent="0.25">
      <c r="D951"/>
      <c r="E951"/>
    </row>
    <row r="952" spans="4:5" x14ac:dyDescent="0.25">
      <c r="D952"/>
      <c r="E952"/>
    </row>
    <row r="953" spans="4:5" x14ac:dyDescent="0.25">
      <c r="D953"/>
      <c r="E953"/>
    </row>
    <row r="954" spans="4:5" x14ac:dyDescent="0.25">
      <c r="D954"/>
      <c r="E954"/>
    </row>
    <row r="955" spans="4:5" x14ac:dyDescent="0.25">
      <c r="D955"/>
      <c r="E955"/>
    </row>
    <row r="956" spans="4:5" x14ac:dyDescent="0.25">
      <c r="D956"/>
      <c r="E956"/>
    </row>
    <row r="957" spans="4:5" x14ac:dyDescent="0.25">
      <c r="D957"/>
      <c r="E957"/>
    </row>
    <row r="958" spans="4:5" x14ac:dyDescent="0.25">
      <c r="D958"/>
      <c r="E958"/>
    </row>
    <row r="959" spans="4:5" x14ac:dyDescent="0.25">
      <c r="D959"/>
      <c r="E959"/>
    </row>
    <row r="960" spans="4:5" x14ac:dyDescent="0.25">
      <c r="D960"/>
      <c r="E960"/>
    </row>
    <row r="961" spans="4:5" x14ac:dyDescent="0.25">
      <c r="D961"/>
      <c r="E961"/>
    </row>
    <row r="962" spans="4:5" x14ac:dyDescent="0.25">
      <c r="D962"/>
      <c r="E962"/>
    </row>
    <row r="963" spans="4:5" x14ac:dyDescent="0.25">
      <c r="D963"/>
      <c r="E963"/>
    </row>
    <row r="964" spans="4:5" x14ac:dyDescent="0.25">
      <c r="D964"/>
      <c r="E964"/>
    </row>
    <row r="965" spans="4:5" x14ac:dyDescent="0.25">
      <c r="D965"/>
      <c r="E965"/>
    </row>
    <row r="966" spans="4:5" x14ac:dyDescent="0.25">
      <c r="D966"/>
      <c r="E966"/>
    </row>
    <row r="967" spans="4:5" x14ac:dyDescent="0.25">
      <c r="D967"/>
      <c r="E967"/>
    </row>
    <row r="968" spans="4:5" x14ac:dyDescent="0.25">
      <c r="D968"/>
      <c r="E968"/>
    </row>
    <row r="969" spans="4:5" x14ac:dyDescent="0.25">
      <c r="D969"/>
      <c r="E969"/>
    </row>
    <row r="970" spans="4:5" x14ac:dyDescent="0.25">
      <c r="D970"/>
      <c r="E970"/>
    </row>
    <row r="971" spans="4:5" x14ac:dyDescent="0.25">
      <c r="D971"/>
      <c r="E971"/>
    </row>
    <row r="972" spans="4:5" x14ac:dyDescent="0.25">
      <c r="D972"/>
      <c r="E972"/>
    </row>
    <row r="973" spans="4:5" x14ac:dyDescent="0.25">
      <c r="D973"/>
      <c r="E973"/>
    </row>
    <row r="974" spans="4:5" x14ac:dyDescent="0.25">
      <c r="D974"/>
      <c r="E974"/>
    </row>
    <row r="975" spans="4:5" x14ac:dyDescent="0.25">
      <c r="D975"/>
      <c r="E975"/>
    </row>
    <row r="976" spans="4:5" x14ac:dyDescent="0.25">
      <c r="D976"/>
      <c r="E976"/>
    </row>
    <row r="977" spans="4:5" x14ac:dyDescent="0.25">
      <c r="D977"/>
      <c r="E977"/>
    </row>
    <row r="978" spans="4:5" x14ac:dyDescent="0.25">
      <c r="D978"/>
      <c r="E978"/>
    </row>
    <row r="979" spans="4:5" x14ac:dyDescent="0.25">
      <c r="D979"/>
      <c r="E979"/>
    </row>
    <row r="980" spans="4:5" x14ac:dyDescent="0.25">
      <c r="D980"/>
      <c r="E980"/>
    </row>
    <row r="981" spans="4:5" x14ac:dyDescent="0.25">
      <c r="D981"/>
      <c r="E981"/>
    </row>
    <row r="982" spans="4:5" x14ac:dyDescent="0.25">
      <c r="D982"/>
      <c r="E982"/>
    </row>
    <row r="983" spans="4:5" x14ac:dyDescent="0.25">
      <c r="D983"/>
      <c r="E983"/>
    </row>
    <row r="984" spans="4:5" x14ac:dyDescent="0.25">
      <c r="D984"/>
      <c r="E984"/>
    </row>
    <row r="985" spans="4:5" x14ac:dyDescent="0.25">
      <c r="D985"/>
      <c r="E985"/>
    </row>
    <row r="986" spans="4:5" x14ac:dyDescent="0.25">
      <c r="D986"/>
      <c r="E986"/>
    </row>
    <row r="987" spans="4:5" x14ac:dyDescent="0.25">
      <c r="D987"/>
      <c r="E987"/>
    </row>
    <row r="988" spans="4:5" x14ac:dyDescent="0.25">
      <c r="D988"/>
      <c r="E988"/>
    </row>
    <row r="989" spans="4:5" x14ac:dyDescent="0.25">
      <c r="D989"/>
      <c r="E989"/>
    </row>
    <row r="990" spans="4:5" x14ac:dyDescent="0.25">
      <c r="D990"/>
      <c r="E990"/>
    </row>
    <row r="991" spans="4:5" x14ac:dyDescent="0.25">
      <c r="D991"/>
      <c r="E991"/>
    </row>
    <row r="992" spans="4:5" x14ac:dyDescent="0.25">
      <c r="D992"/>
      <c r="E992"/>
    </row>
    <row r="993" spans="4:5" x14ac:dyDescent="0.25">
      <c r="D993"/>
      <c r="E993"/>
    </row>
    <row r="994" spans="4:5" x14ac:dyDescent="0.25">
      <c r="D994"/>
      <c r="E994"/>
    </row>
    <row r="995" spans="4:5" x14ac:dyDescent="0.25">
      <c r="D995"/>
      <c r="E995"/>
    </row>
    <row r="996" spans="4:5" x14ac:dyDescent="0.25">
      <c r="D996"/>
      <c r="E996"/>
    </row>
    <row r="997" spans="4:5" x14ac:dyDescent="0.25">
      <c r="D997"/>
      <c r="E997"/>
    </row>
    <row r="998" spans="4:5" x14ac:dyDescent="0.25">
      <c r="D998"/>
      <c r="E998"/>
    </row>
    <row r="999" spans="4:5" x14ac:dyDescent="0.25">
      <c r="D999"/>
      <c r="E999"/>
    </row>
    <row r="1000" spans="4:5" x14ac:dyDescent="0.25">
      <c r="D1000"/>
      <c r="E1000"/>
    </row>
    <row r="1001" spans="4:5" x14ac:dyDescent="0.25">
      <c r="D1001"/>
      <c r="E1001"/>
    </row>
    <row r="1002" spans="4:5" x14ac:dyDescent="0.25">
      <c r="D1002"/>
      <c r="E1002"/>
    </row>
    <row r="1003" spans="4:5" x14ac:dyDescent="0.25">
      <c r="D1003"/>
      <c r="E1003"/>
    </row>
    <row r="1004" spans="4:5" x14ac:dyDescent="0.25">
      <c r="D1004"/>
      <c r="E1004"/>
    </row>
    <row r="1005" spans="4:5" x14ac:dyDescent="0.25">
      <c r="D1005"/>
      <c r="E1005"/>
    </row>
    <row r="1006" spans="4:5" x14ac:dyDescent="0.25">
      <c r="D1006"/>
      <c r="E1006"/>
    </row>
    <row r="1007" spans="4:5" x14ac:dyDescent="0.25">
      <c r="D1007"/>
      <c r="E1007"/>
    </row>
    <row r="1008" spans="4:5" x14ac:dyDescent="0.25">
      <c r="D1008"/>
      <c r="E1008"/>
    </row>
    <row r="1009" spans="4:5" x14ac:dyDescent="0.25">
      <c r="D1009"/>
      <c r="E1009"/>
    </row>
    <row r="1010" spans="4:5" x14ac:dyDescent="0.25">
      <c r="D1010"/>
      <c r="E1010"/>
    </row>
    <row r="1011" spans="4:5" x14ac:dyDescent="0.25">
      <c r="D1011"/>
      <c r="E1011"/>
    </row>
    <row r="1012" spans="4:5" x14ac:dyDescent="0.25">
      <c r="D1012"/>
      <c r="E1012"/>
    </row>
    <row r="1013" spans="4:5" x14ac:dyDescent="0.25">
      <c r="D1013"/>
      <c r="E1013"/>
    </row>
    <row r="1014" spans="4:5" x14ac:dyDescent="0.25">
      <c r="D1014"/>
      <c r="E1014"/>
    </row>
    <row r="1015" spans="4:5" x14ac:dyDescent="0.25">
      <c r="D1015"/>
      <c r="E1015"/>
    </row>
    <row r="1016" spans="4:5" x14ac:dyDescent="0.25">
      <c r="D1016"/>
      <c r="E1016"/>
    </row>
    <row r="1017" spans="4:5" x14ac:dyDescent="0.25">
      <c r="D1017"/>
      <c r="E1017"/>
    </row>
    <row r="1018" spans="4:5" x14ac:dyDescent="0.25">
      <c r="D1018"/>
      <c r="E1018"/>
    </row>
    <row r="1019" spans="4:5" x14ac:dyDescent="0.25">
      <c r="D1019"/>
      <c r="E1019"/>
    </row>
    <row r="1020" spans="4:5" x14ac:dyDescent="0.25">
      <c r="D1020"/>
      <c r="E1020"/>
    </row>
    <row r="1021" spans="4:5" x14ac:dyDescent="0.25">
      <c r="D1021"/>
      <c r="E1021"/>
    </row>
    <row r="1022" spans="4:5" x14ac:dyDescent="0.25">
      <c r="D1022"/>
      <c r="E1022"/>
    </row>
    <row r="1023" spans="4:5" x14ac:dyDescent="0.25">
      <c r="D1023"/>
      <c r="E1023"/>
    </row>
    <row r="1024" spans="4:5" x14ac:dyDescent="0.25">
      <c r="D1024"/>
      <c r="E1024"/>
    </row>
    <row r="1025" spans="4:5" x14ac:dyDescent="0.25">
      <c r="D1025"/>
      <c r="E1025"/>
    </row>
    <row r="1026" spans="4:5" x14ac:dyDescent="0.25">
      <c r="D1026"/>
      <c r="E1026"/>
    </row>
    <row r="1027" spans="4:5" x14ac:dyDescent="0.25">
      <c r="D1027"/>
      <c r="E1027"/>
    </row>
    <row r="1028" spans="4:5" x14ac:dyDescent="0.25">
      <c r="D1028"/>
      <c r="E1028"/>
    </row>
    <row r="1029" spans="4:5" x14ac:dyDescent="0.25">
      <c r="D1029"/>
      <c r="E1029"/>
    </row>
    <row r="1030" spans="4:5" x14ac:dyDescent="0.25">
      <c r="D1030"/>
      <c r="E1030"/>
    </row>
    <row r="1031" spans="4:5" x14ac:dyDescent="0.25">
      <c r="D1031"/>
      <c r="E1031"/>
    </row>
    <row r="1032" spans="4:5" x14ac:dyDescent="0.25">
      <c r="D1032"/>
      <c r="E1032"/>
    </row>
    <row r="1033" spans="4:5" x14ac:dyDescent="0.25">
      <c r="D1033"/>
      <c r="E1033"/>
    </row>
    <row r="1034" spans="4:5" x14ac:dyDescent="0.25">
      <c r="D1034"/>
      <c r="E1034"/>
    </row>
    <row r="1035" spans="4:5" x14ac:dyDescent="0.25">
      <c r="D1035"/>
      <c r="E1035"/>
    </row>
    <row r="1036" spans="4:5" x14ac:dyDescent="0.25">
      <c r="D1036"/>
      <c r="E1036"/>
    </row>
    <row r="1037" spans="4:5" x14ac:dyDescent="0.25">
      <c r="D1037"/>
      <c r="E1037"/>
    </row>
    <row r="1038" spans="4:5" x14ac:dyDescent="0.25">
      <c r="D1038"/>
      <c r="E1038"/>
    </row>
    <row r="1039" spans="4:5" x14ac:dyDescent="0.25">
      <c r="D1039"/>
      <c r="E1039"/>
    </row>
    <row r="1040" spans="4:5" x14ac:dyDescent="0.25">
      <c r="D1040"/>
      <c r="E1040"/>
    </row>
    <row r="1041" spans="4:5" x14ac:dyDescent="0.25">
      <c r="D1041"/>
      <c r="E1041"/>
    </row>
    <row r="1042" spans="4:5" x14ac:dyDescent="0.25">
      <c r="D1042"/>
      <c r="E1042"/>
    </row>
    <row r="1043" spans="4:5" x14ac:dyDescent="0.25">
      <c r="D1043"/>
      <c r="E1043"/>
    </row>
    <row r="1044" spans="4:5" x14ac:dyDescent="0.25">
      <c r="D1044"/>
      <c r="E1044"/>
    </row>
    <row r="1045" spans="4:5" x14ac:dyDescent="0.25">
      <c r="D1045"/>
      <c r="E1045"/>
    </row>
    <row r="1046" spans="4:5" x14ac:dyDescent="0.25">
      <c r="D1046"/>
      <c r="E1046"/>
    </row>
    <row r="1047" spans="4:5" x14ac:dyDescent="0.25">
      <c r="D1047"/>
      <c r="E1047"/>
    </row>
    <row r="1048" spans="4:5" x14ac:dyDescent="0.25">
      <c r="D1048"/>
      <c r="E1048"/>
    </row>
    <row r="1049" spans="4:5" x14ac:dyDescent="0.25">
      <c r="D1049"/>
      <c r="E1049"/>
    </row>
    <row r="1050" spans="4:5" x14ac:dyDescent="0.25">
      <c r="D1050"/>
      <c r="E1050"/>
    </row>
    <row r="1051" spans="4:5" x14ac:dyDescent="0.25">
      <c r="D1051"/>
      <c r="E1051"/>
    </row>
    <row r="1052" spans="4:5" x14ac:dyDescent="0.25">
      <c r="D1052"/>
      <c r="E1052"/>
    </row>
    <row r="1053" spans="4:5" x14ac:dyDescent="0.25">
      <c r="D1053"/>
      <c r="E1053"/>
    </row>
    <row r="1054" spans="4:5" x14ac:dyDescent="0.25">
      <c r="D1054"/>
      <c r="E1054"/>
    </row>
    <row r="1055" spans="4:5" x14ac:dyDescent="0.25">
      <c r="D1055"/>
      <c r="E1055"/>
    </row>
    <row r="1056" spans="4:5" x14ac:dyDescent="0.25">
      <c r="D1056"/>
      <c r="E1056"/>
    </row>
    <row r="1057" spans="4:5" x14ac:dyDescent="0.25">
      <c r="D1057"/>
      <c r="E1057"/>
    </row>
    <row r="1058" spans="4:5" x14ac:dyDescent="0.25">
      <c r="D1058"/>
      <c r="E1058"/>
    </row>
    <row r="1059" spans="4:5" x14ac:dyDescent="0.25">
      <c r="D1059"/>
      <c r="E1059"/>
    </row>
    <row r="1060" spans="4:5" x14ac:dyDescent="0.25">
      <c r="D1060"/>
      <c r="E1060"/>
    </row>
    <row r="1061" spans="4:5" x14ac:dyDescent="0.25">
      <c r="D1061"/>
      <c r="E1061"/>
    </row>
    <row r="1062" spans="4:5" x14ac:dyDescent="0.25">
      <c r="D1062"/>
      <c r="E1062"/>
    </row>
    <row r="1063" spans="4:5" x14ac:dyDescent="0.25">
      <c r="D1063"/>
      <c r="E1063"/>
    </row>
    <row r="1064" spans="4:5" x14ac:dyDescent="0.25">
      <c r="D1064"/>
      <c r="E1064"/>
    </row>
    <row r="1065" spans="4:5" x14ac:dyDescent="0.25">
      <c r="D1065"/>
      <c r="E1065"/>
    </row>
    <row r="1066" spans="4:5" x14ac:dyDescent="0.25">
      <c r="D1066"/>
      <c r="E1066"/>
    </row>
    <row r="1067" spans="4:5" x14ac:dyDescent="0.25">
      <c r="D1067"/>
      <c r="E1067"/>
    </row>
    <row r="1068" spans="4:5" x14ac:dyDescent="0.25">
      <c r="D1068"/>
      <c r="E1068"/>
    </row>
    <row r="1069" spans="4:5" x14ac:dyDescent="0.25">
      <c r="D1069"/>
      <c r="E1069"/>
    </row>
    <row r="1070" spans="4:5" x14ac:dyDescent="0.25">
      <c r="D1070"/>
      <c r="E1070"/>
    </row>
    <row r="1071" spans="4:5" x14ac:dyDescent="0.25">
      <c r="D1071"/>
      <c r="E1071"/>
    </row>
    <row r="1072" spans="4:5" x14ac:dyDescent="0.25">
      <c r="D1072"/>
      <c r="E1072"/>
    </row>
    <row r="1073" spans="4:5" x14ac:dyDescent="0.25">
      <c r="D1073"/>
      <c r="E1073"/>
    </row>
    <row r="1074" spans="4:5" x14ac:dyDescent="0.25">
      <c r="D1074"/>
      <c r="E1074"/>
    </row>
    <row r="1075" spans="4:5" x14ac:dyDescent="0.25">
      <c r="D1075"/>
      <c r="E1075"/>
    </row>
    <row r="1076" spans="4:5" x14ac:dyDescent="0.25">
      <c r="D1076"/>
      <c r="E1076"/>
    </row>
    <row r="1077" spans="4:5" x14ac:dyDescent="0.25">
      <c r="D1077"/>
      <c r="E1077"/>
    </row>
    <row r="1078" spans="4:5" x14ac:dyDescent="0.25">
      <c r="D1078"/>
      <c r="E1078"/>
    </row>
    <row r="1079" spans="4:5" x14ac:dyDescent="0.25">
      <c r="D1079"/>
      <c r="E1079"/>
    </row>
    <row r="1080" spans="4:5" x14ac:dyDescent="0.25">
      <c r="D1080"/>
      <c r="E1080"/>
    </row>
    <row r="1081" spans="4:5" x14ac:dyDescent="0.25">
      <c r="D1081"/>
      <c r="E1081"/>
    </row>
    <row r="1082" spans="4:5" x14ac:dyDescent="0.25">
      <c r="D1082"/>
      <c r="E1082"/>
    </row>
    <row r="1083" spans="4:5" x14ac:dyDescent="0.25">
      <c r="D1083"/>
      <c r="E1083"/>
    </row>
    <row r="1084" spans="4:5" x14ac:dyDescent="0.25">
      <c r="D1084"/>
      <c r="E1084"/>
    </row>
    <row r="1085" spans="4:5" x14ac:dyDescent="0.25">
      <c r="D1085"/>
      <c r="E1085"/>
    </row>
    <row r="1086" spans="4:5" x14ac:dyDescent="0.25">
      <c r="D1086"/>
      <c r="E1086"/>
    </row>
    <row r="1087" spans="4:5" x14ac:dyDescent="0.25">
      <c r="D1087"/>
      <c r="E1087"/>
    </row>
    <row r="1088" spans="4:5" x14ac:dyDescent="0.25">
      <c r="D1088"/>
      <c r="E1088"/>
    </row>
    <row r="1089" spans="4:5" x14ac:dyDescent="0.25">
      <c r="D1089"/>
      <c r="E1089"/>
    </row>
    <row r="1090" spans="4:5" x14ac:dyDescent="0.25">
      <c r="D1090"/>
      <c r="E1090"/>
    </row>
    <row r="1091" spans="4:5" x14ac:dyDescent="0.25">
      <c r="D1091"/>
      <c r="E1091"/>
    </row>
    <row r="1092" spans="4:5" x14ac:dyDescent="0.25">
      <c r="D1092"/>
      <c r="E1092"/>
    </row>
    <row r="1093" spans="4:5" x14ac:dyDescent="0.25">
      <c r="D1093"/>
      <c r="E1093"/>
    </row>
    <row r="1094" spans="4:5" x14ac:dyDescent="0.25">
      <c r="D1094"/>
      <c r="E1094"/>
    </row>
    <row r="1095" spans="4:5" x14ac:dyDescent="0.25">
      <c r="D1095"/>
      <c r="E1095"/>
    </row>
    <row r="1096" spans="4:5" x14ac:dyDescent="0.25">
      <c r="D1096"/>
      <c r="E1096"/>
    </row>
    <row r="1097" spans="4:5" x14ac:dyDescent="0.25">
      <c r="D1097"/>
      <c r="E1097"/>
    </row>
    <row r="1098" spans="4:5" x14ac:dyDescent="0.25">
      <c r="D1098"/>
      <c r="E1098"/>
    </row>
    <row r="1099" spans="4:5" x14ac:dyDescent="0.25">
      <c r="D1099"/>
      <c r="E1099"/>
    </row>
    <row r="1100" spans="4:5" x14ac:dyDescent="0.25">
      <c r="D1100"/>
      <c r="E1100"/>
    </row>
    <row r="1101" spans="4:5" x14ac:dyDescent="0.25">
      <c r="D1101"/>
      <c r="E1101"/>
    </row>
    <row r="1102" spans="4:5" x14ac:dyDescent="0.25">
      <c r="D1102"/>
      <c r="E1102"/>
    </row>
    <row r="1103" spans="4:5" x14ac:dyDescent="0.25">
      <c r="D1103"/>
      <c r="E1103"/>
    </row>
    <row r="1104" spans="4:5" x14ac:dyDescent="0.25">
      <c r="D1104"/>
      <c r="E1104"/>
    </row>
    <row r="1105" spans="4:5" x14ac:dyDescent="0.25">
      <c r="D1105"/>
      <c r="E1105"/>
    </row>
    <row r="1106" spans="4:5" x14ac:dyDescent="0.25">
      <c r="D1106"/>
      <c r="E1106"/>
    </row>
    <row r="1107" spans="4:5" x14ac:dyDescent="0.25">
      <c r="D1107"/>
      <c r="E1107"/>
    </row>
    <row r="1108" spans="4:5" x14ac:dyDescent="0.25">
      <c r="D1108"/>
      <c r="E1108"/>
    </row>
    <row r="1109" spans="4:5" x14ac:dyDescent="0.25">
      <c r="D1109"/>
      <c r="E1109"/>
    </row>
    <row r="1110" spans="4:5" x14ac:dyDescent="0.25">
      <c r="D1110"/>
      <c r="E1110"/>
    </row>
    <row r="1111" spans="4:5" x14ac:dyDescent="0.25">
      <c r="D1111"/>
      <c r="E1111"/>
    </row>
    <row r="1112" spans="4:5" x14ac:dyDescent="0.25">
      <c r="D1112"/>
      <c r="E1112"/>
    </row>
    <row r="1113" spans="4:5" x14ac:dyDescent="0.25">
      <c r="D1113"/>
      <c r="E1113"/>
    </row>
    <row r="1114" spans="4:5" x14ac:dyDescent="0.25">
      <c r="D1114"/>
      <c r="E1114"/>
    </row>
    <row r="1115" spans="4:5" x14ac:dyDescent="0.25">
      <c r="D1115"/>
      <c r="E1115"/>
    </row>
    <row r="1116" spans="4:5" x14ac:dyDescent="0.25">
      <c r="D1116"/>
      <c r="E1116"/>
    </row>
    <row r="1117" spans="4:5" x14ac:dyDescent="0.25">
      <c r="D1117"/>
      <c r="E1117"/>
    </row>
    <row r="1118" spans="4:5" x14ac:dyDescent="0.25">
      <c r="D1118"/>
      <c r="E1118"/>
    </row>
    <row r="1119" spans="4:5" x14ac:dyDescent="0.25">
      <c r="D1119"/>
      <c r="E1119"/>
    </row>
    <row r="1120" spans="4:5" x14ac:dyDescent="0.25">
      <c r="D1120"/>
      <c r="E1120"/>
    </row>
    <row r="1121" spans="4:5" x14ac:dyDescent="0.25">
      <c r="D1121"/>
      <c r="E1121"/>
    </row>
    <row r="1122" spans="4:5" x14ac:dyDescent="0.25">
      <c r="D1122"/>
      <c r="E1122"/>
    </row>
    <row r="1123" spans="4:5" x14ac:dyDescent="0.25">
      <c r="D1123"/>
      <c r="E1123"/>
    </row>
    <row r="1124" spans="4:5" x14ac:dyDescent="0.25">
      <c r="D1124"/>
      <c r="E1124"/>
    </row>
    <row r="1125" spans="4:5" x14ac:dyDescent="0.25">
      <c r="D1125"/>
      <c r="E1125"/>
    </row>
    <row r="1126" spans="4:5" x14ac:dyDescent="0.25">
      <c r="D1126"/>
      <c r="E1126"/>
    </row>
    <row r="1127" spans="4:5" x14ac:dyDescent="0.25">
      <c r="D1127"/>
      <c r="E1127"/>
    </row>
    <row r="1128" spans="4:5" x14ac:dyDescent="0.25">
      <c r="D1128"/>
      <c r="E1128"/>
    </row>
    <row r="1129" spans="4:5" x14ac:dyDescent="0.25">
      <c r="D1129"/>
      <c r="E1129"/>
    </row>
    <row r="1130" spans="4:5" x14ac:dyDescent="0.25">
      <c r="D1130"/>
      <c r="E1130"/>
    </row>
    <row r="1131" spans="4:5" x14ac:dyDescent="0.25">
      <c r="D1131"/>
      <c r="E1131"/>
    </row>
    <row r="1132" spans="4:5" x14ac:dyDescent="0.25">
      <c r="D1132"/>
      <c r="E1132"/>
    </row>
    <row r="1133" spans="4:5" x14ac:dyDescent="0.25">
      <c r="D1133"/>
      <c r="E1133"/>
    </row>
    <row r="1134" spans="4:5" x14ac:dyDescent="0.25">
      <c r="D1134"/>
      <c r="E1134"/>
    </row>
    <row r="1135" spans="4:5" x14ac:dyDescent="0.25">
      <c r="D1135"/>
      <c r="E1135"/>
    </row>
    <row r="1136" spans="4:5" x14ac:dyDescent="0.25">
      <c r="D1136"/>
      <c r="E1136"/>
    </row>
    <row r="1137" spans="4:5" x14ac:dyDescent="0.25">
      <c r="D1137"/>
      <c r="E1137"/>
    </row>
    <row r="1138" spans="4:5" x14ac:dyDescent="0.25">
      <c r="D1138"/>
      <c r="E1138"/>
    </row>
    <row r="1139" spans="4:5" x14ac:dyDescent="0.25">
      <c r="D1139"/>
      <c r="E1139"/>
    </row>
    <row r="1140" spans="4:5" x14ac:dyDescent="0.25">
      <c r="D1140"/>
      <c r="E1140"/>
    </row>
    <row r="1141" spans="4:5" x14ac:dyDescent="0.25">
      <c r="D1141"/>
      <c r="E1141"/>
    </row>
    <row r="1142" spans="4:5" x14ac:dyDescent="0.25">
      <c r="D1142"/>
      <c r="E1142"/>
    </row>
    <row r="1143" spans="4:5" x14ac:dyDescent="0.25">
      <c r="D1143"/>
      <c r="E1143"/>
    </row>
    <row r="1144" spans="4:5" x14ac:dyDescent="0.25">
      <c r="D1144"/>
      <c r="E1144"/>
    </row>
    <row r="1145" spans="4:5" x14ac:dyDescent="0.25">
      <c r="D1145"/>
      <c r="E1145"/>
    </row>
    <row r="1146" spans="4:5" x14ac:dyDescent="0.25">
      <c r="D1146"/>
      <c r="E1146"/>
    </row>
    <row r="1147" spans="4:5" x14ac:dyDescent="0.25">
      <c r="D1147"/>
      <c r="E1147"/>
    </row>
    <row r="1148" spans="4:5" x14ac:dyDescent="0.25">
      <c r="D1148"/>
      <c r="E1148"/>
    </row>
    <row r="1149" spans="4:5" x14ac:dyDescent="0.25">
      <c r="D1149"/>
      <c r="E1149"/>
    </row>
    <row r="1150" spans="4:5" x14ac:dyDescent="0.25">
      <c r="D1150"/>
      <c r="E1150"/>
    </row>
    <row r="1151" spans="4:5" x14ac:dyDescent="0.25">
      <c r="D1151"/>
      <c r="E1151"/>
    </row>
    <row r="1152" spans="4:5" x14ac:dyDescent="0.25">
      <c r="D1152"/>
      <c r="E1152"/>
    </row>
    <row r="1153" spans="4:5" x14ac:dyDescent="0.25">
      <c r="D1153"/>
      <c r="E1153"/>
    </row>
    <row r="1154" spans="4:5" x14ac:dyDescent="0.25">
      <c r="D1154"/>
      <c r="E1154"/>
    </row>
    <row r="1155" spans="4:5" x14ac:dyDescent="0.25">
      <c r="D1155"/>
      <c r="E1155"/>
    </row>
    <row r="1156" spans="4:5" x14ac:dyDescent="0.25">
      <c r="D1156"/>
      <c r="E1156"/>
    </row>
    <row r="1157" spans="4:5" x14ac:dyDescent="0.25">
      <c r="D1157"/>
      <c r="E1157"/>
    </row>
    <row r="1158" spans="4:5" x14ac:dyDescent="0.25">
      <c r="D1158"/>
      <c r="E1158"/>
    </row>
    <row r="1159" spans="4:5" x14ac:dyDescent="0.25">
      <c r="D1159"/>
      <c r="E1159"/>
    </row>
    <row r="1160" spans="4:5" x14ac:dyDescent="0.25">
      <c r="D1160"/>
      <c r="E1160"/>
    </row>
    <row r="1161" spans="4:5" x14ac:dyDescent="0.25">
      <c r="D1161"/>
      <c r="E1161"/>
    </row>
    <row r="1162" spans="4:5" x14ac:dyDescent="0.25">
      <c r="D1162"/>
      <c r="E1162"/>
    </row>
    <row r="1163" spans="4:5" x14ac:dyDescent="0.25">
      <c r="D1163"/>
      <c r="E1163"/>
    </row>
    <row r="1164" spans="4:5" x14ac:dyDescent="0.25">
      <c r="D1164"/>
      <c r="E1164"/>
    </row>
    <row r="1165" spans="4:5" x14ac:dyDescent="0.25">
      <c r="D1165"/>
      <c r="E1165"/>
    </row>
    <row r="1166" spans="4:5" x14ac:dyDescent="0.25">
      <c r="D1166"/>
      <c r="E1166"/>
    </row>
    <row r="1167" spans="4:5" x14ac:dyDescent="0.25">
      <c r="D1167"/>
      <c r="E1167"/>
    </row>
    <row r="1168" spans="4:5" x14ac:dyDescent="0.25">
      <c r="D1168"/>
      <c r="E1168"/>
    </row>
    <row r="1169" spans="4:5" x14ac:dyDescent="0.25">
      <c r="D1169"/>
      <c r="E1169"/>
    </row>
    <row r="1170" spans="4:5" x14ac:dyDescent="0.25">
      <c r="D1170"/>
      <c r="E1170"/>
    </row>
    <row r="1171" spans="4:5" x14ac:dyDescent="0.25">
      <c r="D1171"/>
      <c r="E1171"/>
    </row>
    <row r="1172" spans="4:5" x14ac:dyDescent="0.25">
      <c r="D1172"/>
      <c r="E1172"/>
    </row>
    <row r="1173" spans="4:5" x14ac:dyDescent="0.25">
      <c r="D1173"/>
      <c r="E1173"/>
    </row>
    <row r="1174" spans="4:5" x14ac:dyDescent="0.25">
      <c r="D1174"/>
      <c r="E1174"/>
    </row>
    <row r="1175" spans="4:5" x14ac:dyDescent="0.25">
      <c r="D1175"/>
      <c r="E1175"/>
    </row>
    <row r="1176" spans="4:5" x14ac:dyDescent="0.25">
      <c r="D1176"/>
      <c r="E1176"/>
    </row>
    <row r="1177" spans="4:5" x14ac:dyDescent="0.25">
      <c r="D1177"/>
      <c r="E1177"/>
    </row>
    <row r="1178" spans="4:5" x14ac:dyDescent="0.25">
      <c r="D1178"/>
      <c r="E1178"/>
    </row>
    <row r="1179" spans="4:5" x14ac:dyDescent="0.25">
      <c r="D1179"/>
      <c r="E1179"/>
    </row>
    <row r="1180" spans="4:5" x14ac:dyDescent="0.25">
      <c r="D1180"/>
      <c r="E1180"/>
    </row>
    <row r="1181" spans="4:5" x14ac:dyDescent="0.25">
      <c r="D1181"/>
      <c r="E1181"/>
    </row>
    <row r="1182" spans="4:5" x14ac:dyDescent="0.25">
      <c r="D1182"/>
      <c r="E1182"/>
    </row>
    <row r="1183" spans="4:5" x14ac:dyDescent="0.25">
      <c r="D1183"/>
      <c r="E1183"/>
    </row>
    <row r="1184" spans="4:5" x14ac:dyDescent="0.25">
      <c r="D1184"/>
      <c r="E1184"/>
    </row>
    <row r="1185" spans="4:5" x14ac:dyDescent="0.25">
      <c r="D1185"/>
      <c r="E1185"/>
    </row>
    <row r="1186" spans="4:5" x14ac:dyDescent="0.25">
      <c r="D1186"/>
      <c r="E1186"/>
    </row>
    <row r="1187" spans="4:5" x14ac:dyDescent="0.25">
      <c r="D1187"/>
      <c r="E1187"/>
    </row>
    <row r="1188" spans="4:5" x14ac:dyDescent="0.25">
      <c r="D1188"/>
      <c r="E1188"/>
    </row>
    <row r="1189" spans="4:5" x14ac:dyDescent="0.25">
      <c r="D1189"/>
      <c r="E1189"/>
    </row>
    <row r="1190" spans="4:5" x14ac:dyDescent="0.25">
      <c r="D1190"/>
      <c r="E1190"/>
    </row>
    <row r="1191" spans="4:5" x14ac:dyDescent="0.25">
      <c r="D1191"/>
      <c r="E1191"/>
    </row>
    <row r="1192" spans="4:5" x14ac:dyDescent="0.25">
      <c r="D1192"/>
      <c r="E1192"/>
    </row>
    <row r="1193" spans="4:5" x14ac:dyDescent="0.25">
      <c r="D1193"/>
      <c r="E1193"/>
    </row>
    <row r="1194" spans="4:5" x14ac:dyDescent="0.25">
      <c r="D1194"/>
      <c r="E1194"/>
    </row>
    <row r="1195" spans="4:5" x14ac:dyDescent="0.25">
      <c r="D1195"/>
      <c r="E1195"/>
    </row>
    <row r="1196" spans="4:5" x14ac:dyDescent="0.25">
      <c r="D1196"/>
      <c r="E1196"/>
    </row>
    <row r="1197" spans="4:5" x14ac:dyDescent="0.25">
      <c r="D1197"/>
      <c r="E1197"/>
    </row>
    <row r="1198" spans="4:5" x14ac:dyDescent="0.25">
      <c r="D1198"/>
      <c r="E1198"/>
    </row>
    <row r="1199" spans="4:5" x14ac:dyDescent="0.25">
      <c r="D1199"/>
      <c r="E1199"/>
    </row>
    <row r="1200" spans="4:5" x14ac:dyDescent="0.25">
      <c r="D1200"/>
      <c r="E1200"/>
    </row>
    <row r="1201" spans="4:5" x14ac:dyDescent="0.25">
      <c r="D1201"/>
      <c r="E1201"/>
    </row>
    <row r="1202" spans="4:5" x14ac:dyDescent="0.25">
      <c r="D1202"/>
      <c r="E1202"/>
    </row>
    <row r="1203" spans="4:5" x14ac:dyDescent="0.25">
      <c r="D1203"/>
      <c r="E1203"/>
    </row>
    <row r="1204" spans="4:5" x14ac:dyDescent="0.25">
      <c r="D1204"/>
      <c r="E1204"/>
    </row>
    <row r="1205" spans="4:5" x14ac:dyDescent="0.25">
      <c r="D1205"/>
      <c r="E1205"/>
    </row>
    <row r="1206" spans="4:5" x14ac:dyDescent="0.25">
      <c r="D1206"/>
      <c r="E1206"/>
    </row>
    <row r="1207" spans="4:5" x14ac:dyDescent="0.25">
      <c r="D1207"/>
      <c r="E1207"/>
    </row>
    <row r="1208" spans="4:5" x14ac:dyDescent="0.25">
      <c r="D1208"/>
      <c r="E1208"/>
    </row>
    <row r="1209" spans="4:5" x14ac:dyDescent="0.25">
      <c r="D1209"/>
      <c r="E1209"/>
    </row>
    <row r="1210" spans="4:5" x14ac:dyDescent="0.25">
      <c r="D1210"/>
      <c r="E1210"/>
    </row>
    <row r="1211" spans="4:5" x14ac:dyDescent="0.25">
      <c r="D1211"/>
      <c r="E1211"/>
    </row>
    <row r="1212" spans="4:5" x14ac:dyDescent="0.25">
      <c r="D1212"/>
      <c r="E1212"/>
    </row>
    <row r="1213" spans="4:5" x14ac:dyDescent="0.25">
      <c r="D1213"/>
      <c r="E1213"/>
    </row>
    <row r="1214" spans="4:5" x14ac:dyDescent="0.25">
      <c r="D1214"/>
      <c r="E1214"/>
    </row>
    <row r="1215" spans="4:5" x14ac:dyDescent="0.25">
      <c r="D1215"/>
      <c r="E1215"/>
    </row>
    <row r="1216" spans="4:5" x14ac:dyDescent="0.25">
      <c r="D1216"/>
      <c r="E1216"/>
    </row>
    <row r="1217" spans="4:5" x14ac:dyDescent="0.25">
      <c r="D1217"/>
      <c r="E1217"/>
    </row>
    <row r="1218" spans="4:5" x14ac:dyDescent="0.25">
      <c r="D1218"/>
      <c r="E1218"/>
    </row>
    <row r="1219" spans="4:5" x14ac:dyDescent="0.25">
      <c r="D1219"/>
      <c r="E1219"/>
    </row>
    <row r="1220" spans="4:5" x14ac:dyDescent="0.25">
      <c r="D1220"/>
      <c r="E1220"/>
    </row>
    <row r="1221" spans="4:5" x14ac:dyDescent="0.25">
      <c r="D1221"/>
      <c r="E1221"/>
    </row>
    <row r="1222" spans="4:5" x14ac:dyDescent="0.25">
      <c r="D1222"/>
      <c r="E1222"/>
    </row>
    <row r="1223" spans="4:5" x14ac:dyDescent="0.25">
      <c r="D1223"/>
      <c r="E1223"/>
    </row>
    <row r="1224" spans="4:5" x14ac:dyDescent="0.25">
      <c r="D1224"/>
      <c r="E1224"/>
    </row>
    <row r="1225" spans="4:5" x14ac:dyDescent="0.25">
      <c r="D1225"/>
      <c r="E1225"/>
    </row>
    <row r="1226" spans="4:5" x14ac:dyDescent="0.25">
      <c r="D1226"/>
      <c r="E1226"/>
    </row>
    <row r="1227" spans="4:5" x14ac:dyDescent="0.25">
      <c r="D1227"/>
      <c r="E1227"/>
    </row>
    <row r="1228" spans="4:5" x14ac:dyDescent="0.25">
      <c r="D1228"/>
      <c r="E1228"/>
    </row>
    <row r="1229" spans="4:5" x14ac:dyDescent="0.25">
      <c r="D1229"/>
      <c r="E1229"/>
    </row>
    <row r="1230" spans="4:5" x14ac:dyDescent="0.25">
      <c r="D1230"/>
      <c r="E1230"/>
    </row>
    <row r="1231" spans="4:5" x14ac:dyDescent="0.25">
      <c r="D1231"/>
      <c r="E1231"/>
    </row>
    <row r="1232" spans="4:5" x14ac:dyDescent="0.25">
      <c r="D1232"/>
      <c r="E1232"/>
    </row>
    <row r="1233" spans="4:5" x14ac:dyDescent="0.25">
      <c r="D1233"/>
      <c r="E1233"/>
    </row>
    <row r="1234" spans="4:5" x14ac:dyDescent="0.25">
      <c r="D1234"/>
      <c r="E1234"/>
    </row>
    <row r="1235" spans="4:5" x14ac:dyDescent="0.25">
      <c r="D1235"/>
      <c r="E1235"/>
    </row>
    <row r="1236" spans="4:5" x14ac:dyDescent="0.25">
      <c r="D1236"/>
      <c r="E1236"/>
    </row>
    <row r="1237" spans="4:5" x14ac:dyDescent="0.25">
      <c r="D1237"/>
      <c r="E1237"/>
    </row>
    <row r="1238" spans="4:5" x14ac:dyDescent="0.25">
      <c r="D1238"/>
      <c r="E1238"/>
    </row>
    <row r="1239" spans="4:5" x14ac:dyDescent="0.25">
      <c r="D1239"/>
      <c r="E1239"/>
    </row>
    <row r="1240" spans="4:5" x14ac:dyDescent="0.25">
      <c r="D1240"/>
      <c r="E1240"/>
    </row>
    <row r="1241" spans="4:5" x14ac:dyDescent="0.25">
      <c r="D1241"/>
      <c r="E1241"/>
    </row>
    <row r="1242" spans="4:5" x14ac:dyDescent="0.25">
      <c r="D1242"/>
      <c r="E1242"/>
    </row>
    <row r="1243" spans="4:5" x14ac:dyDescent="0.25">
      <c r="D1243"/>
      <c r="E1243"/>
    </row>
    <row r="1244" spans="4:5" x14ac:dyDescent="0.25">
      <c r="D1244"/>
      <c r="E1244"/>
    </row>
    <row r="1245" spans="4:5" x14ac:dyDescent="0.25">
      <c r="D1245"/>
      <c r="E1245"/>
    </row>
    <row r="1246" spans="4:5" x14ac:dyDescent="0.25">
      <c r="D1246"/>
      <c r="E1246"/>
    </row>
    <row r="1247" spans="4:5" x14ac:dyDescent="0.25">
      <c r="D1247"/>
      <c r="E1247"/>
    </row>
    <row r="1248" spans="4:5" x14ac:dyDescent="0.25">
      <c r="D1248"/>
      <c r="E1248"/>
    </row>
    <row r="1249" spans="4:5" x14ac:dyDescent="0.25">
      <c r="D1249"/>
      <c r="E1249"/>
    </row>
    <row r="1250" spans="4:5" x14ac:dyDescent="0.25">
      <c r="D1250"/>
      <c r="E1250"/>
    </row>
    <row r="1251" spans="4:5" x14ac:dyDescent="0.25">
      <c r="D1251"/>
      <c r="E1251"/>
    </row>
    <row r="1252" spans="4:5" x14ac:dyDescent="0.25">
      <c r="D1252"/>
      <c r="E1252"/>
    </row>
    <row r="1253" spans="4:5" x14ac:dyDescent="0.25">
      <c r="D1253"/>
      <c r="E1253"/>
    </row>
    <row r="1254" spans="4:5" x14ac:dyDescent="0.25">
      <c r="D1254"/>
      <c r="E1254"/>
    </row>
    <row r="1255" spans="4:5" x14ac:dyDescent="0.25">
      <c r="D1255"/>
      <c r="E1255"/>
    </row>
    <row r="1256" spans="4:5" x14ac:dyDescent="0.25">
      <c r="D1256"/>
      <c r="E1256"/>
    </row>
    <row r="1257" spans="4:5" x14ac:dyDescent="0.25">
      <c r="D1257"/>
      <c r="E1257"/>
    </row>
    <row r="1258" spans="4:5" x14ac:dyDescent="0.25">
      <c r="D1258"/>
      <c r="E1258"/>
    </row>
    <row r="1259" spans="4:5" x14ac:dyDescent="0.25">
      <c r="D1259"/>
      <c r="E1259"/>
    </row>
    <row r="1260" spans="4:5" x14ac:dyDescent="0.25">
      <c r="D1260"/>
      <c r="E1260"/>
    </row>
    <row r="1261" spans="4:5" x14ac:dyDescent="0.25">
      <c r="D1261"/>
      <c r="E1261"/>
    </row>
    <row r="1262" spans="4:5" x14ac:dyDescent="0.25">
      <c r="D1262"/>
      <c r="E1262"/>
    </row>
    <row r="1263" spans="4:5" x14ac:dyDescent="0.25">
      <c r="D1263"/>
      <c r="E1263"/>
    </row>
    <row r="1264" spans="4:5" x14ac:dyDescent="0.25">
      <c r="D1264"/>
      <c r="E1264"/>
    </row>
    <row r="1265" spans="4:5" x14ac:dyDescent="0.25">
      <c r="D1265"/>
      <c r="E1265"/>
    </row>
    <row r="1266" spans="4:5" x14ac:dyDescent="0.25">
      <c r="D1266"/>
      <c r="E1266"/>
    </row>
    <row r="1267" spans="4:5" x14ac:dyDescent="0.25">
      <c r="D1267"/>
      <c r="E1267"/>
    </row>
    <row r="1268" spans="4:5" x14ac:dyDescent="0.25">
      <c r="D1268"/>
      <c r="E1268"/>
    </row>
    <row r="1269" spans="4:5" x14ac:dyDescent="0.25">
      <c r="D1269"/>
      <c r="E1269"/>
    </row>
    <row r="1270" spans="4:5" x14ac:dyDescent="0.25">
      <c r="D1270"/>
      <c r="E1270"/>
    </row>
    <row r="1271" spans="4:5" x14ac:dyDescent="0.25">
      <c r="D1271"/>
      <c r="E1271"/>
    </row>
    <row r="1272" spans="4:5" x14ac:dyDescent="0.25">
      <c r="D1272"/>
      <c r="E1272"/>
    </row>
    <row r="1273" spans="4:5" x14ac:dyDescent="0.25">
      <c r="D1273"/>
      <c r="E1273"/>
    </row>
    <row r="1274" spans="4:5" x14ac:dyDescent="0.25">
      <c r="D1274"/>
      <c r="E1274"/>
    </row>
    <row r="1275" spans="4:5" x14ac:dyDescent="0.25">
      <c r="D1275"/>
      <c r="E1275"/>
    </row>
    <row r="1276" spans="4:5" x14ac:dyDescent="0.25">
      <c r="D1276"/>
      <c r="E1276"/>
    </row>
    <row r="1277" spans="4:5" x14ac:dyDescent="0.25">
      <c r="D1277"/>
      <c r="E1277"/>
    </row>
    <row r="1278" spans="4:5" x14ac:dyDescent="0.25">
      <c r="D1278"/>
      <c r="E1278"/>
    </row>
    <row r="1279" spans="4:5" x14ac:dyDescent="0.25">
      <c r="D1279"/>
      <c r="E1279"/>
    </row>
    <row r="1280" spans="4:5" x14ac:dyDescent="0.25">
      <c r="D1280"/>
      <c r="E1280"/>
    </row>
    <row r="1281" spans="4:5" x14ac:dyDescent="0.25">
      <c r="D1281"/>
      <c r="E1281"/>
    </row>
    <row r="1282" spans="4:5" x14ac:dyDescent="0.25">
      <c r="D1282"/>
      <c r="E1282"/>
    </row>
    <row r="1283" spans="4:5" x14ac:dyDescent="0.25">
      <c r="D1283"/>
      <c r="E1283"/>
    </row>
    <row r="1284" spans="4:5" x14ac:dyDescent="0.25">
      <c r="D1284"/>
      <c r="E1284"/>
    </row>
    <row r="1285" spans="4:5" x14ac:dyDescent="0.25">
      <c r="D1285"/>
      <c r="E1285"/>
    </row>
    <row r="1286" spans="4:5" x14ac:dyDescent="0.25">
      <c r="D1286"/>
      <c r="E1286"/>
    </row>
    <row r="1287" spans="4:5" x14ac:dyDescent="0.25">
      <c r="D1287"/>
      <c r="E1287"/>
    </row>
    <row r="1288" spans="4:5" x14ac:dyDescent="0.25">
      <c r="D1288"/>
      <c r="E1288"/>
    </row>
    <row r="1289" spans="4:5" x14ac:dyDescent="0.25">
      <c r="D1289"/>
      <c r="E1289"/>
    </row>
    <row r="1290" spans="4:5" x14ac:dyDescent="0.25">
      <c r="D1290"/>
      <c r="E1290"/>
    </row>
    <row r="1291" spans="4:5" x14ac:dyDescent="0.25">
      <c r="D1291"/>
      <c r="E1291"/>
    </row>
    <row r="1292" spans="4:5" x14ac:dyDescent="0.25">
      <c r="D1292"/>
      <c r="E1292"/>
    </row>
    <row r="1293" spans="4:5" x14ac:dyDescent="0.25">
      <c r="D1293"/>
      <c r="E1293"/>
    </row>
    <row r="1294" spans="4:5" x14ac:dyDescent="0.25">
      <c r="D1294"/>
      <c r="E1294"/>
    </row>
    <row r="1295" spans="4:5" x14ac:dyDescent="0.25">
      <c r="D1295"/>
      <c r="E1295"/>
    </row>
    <row r="1296" spans="4:5" x14ac:dyDescent="0.25">
      <c r="D1296"/>
      <c r="E1296"/>
    </row>
    <row r="1297" spans="4:5" x14ac:dyDescent="0.25">
      <c r="D1297"/>
      <c r="E1297"/>
    </row>
    <row r="1298" spans="4:5" x14ac:dyDescent="0.25">
      <c r="D1298"/>
      <c r="E1298"/>
    </row>
    <row r="1299" spans="4:5" x14ac:dyDescent="0.25">
      <c r="D1299"/>
      <c r="E1299"/>
    </row>
    <row r="1300" spans="4:5" x14ac:dyDescent="0.25">
      <c r="D1300"/>
      <c r="E1300"/>
    </row>
    <row r="1301" spans="4:5" x14ac:dyDescent="0.25">
      <c r="D1301"/>
      <c r="E1301"/>
    </row>
    <row r="1302" spans="4:5" x14ac:dyDescent="0.25">
      <c r="D1302"/>
      <c r="E1302"/>
    </row>
    <row r="1303" spans="4:5" x14ac:dyDescent="0.25">
      <c r="D1303"/>
      <c r="E1303"/>
    </row>
    <row r="1304" spans="4:5" x14ac:dyDescent="0.25">
      <c r="D1304"/>
      <c r="E1304"/>
    </row>
    <row r="1305" spans="4:5" x14ac:dyDescent="0.25">
      <c r="D1305"/>
      <c r="E1305"/>
    </row>
    <row r="1306" spans="4:5" x14ac:dyDescent="0.25">
      <c r="D1306"/>
      <c r="E1306"/>
    </row>
    <row r="1307" spans="4:5" x14ac:dyDescent="0.25">
      <c r="D1307"/>
      <c r="E1307"/>
    </row>
    <row r="1308" spans="4:5" x14ac:dyDescent="0.25">
      <c r="D1308"/>
      <c r="E1308"/>
    </row>
    <row r="1309" spans="4:5" x14ac:dyDescent="0.25">
      <c r="D1309"/>
      <c r="E1309"/>
    </row>
    <row r="1310" spans="4:5" x14ac:dyDescent="0.25">
      <c r="D1310"/>
      <c r="E1310"/>
    </row>
    <row r="1311" spans="4:5" x14ac:dyDescent="0.25">
      <c r="D1311"/>
      <c r="E1311"/>
    </row>
    <row r="1312" spans="4:5" x14ac:dyDescent="0.25">
      <c r="D1312"/>
      <c r="E1312"/>
    </row>
    <row r="1313" spans="4:5" x14ac:dyDescent="0.25">
      <c r="D1313"/>
      <c r="E1313"/>
    </row>
    <row r="1314" spans="4:5" x14ac:dyDescent="0.25">
      <c r="D1314"/>
      <c r="E1314"/>
    </row>
    <row r="1315" spans="4:5" x14ac:dyDescent="0.25">
      <c r="D1315"/>
      <c r="E1315"/>
    </row>
    <row r="1316" spans="4:5" x14ac:dyDescent="0.25">
      <c r="D1316"/>
      <c r="E1316"/>
    </row>
    <row r="1317" spans="4:5" x14ac:dyDescent="0.25">
      <c r="D1317"/>
      <c r="E1317"/>
    </row>
    <row r="1318" spans="4:5" x14ac:dyDescent="0.25">
      <c r="D1318"/>
      <c r="E1318"/>
    </row>
    <row r="1319" spans="4:5" x14ac:dyDescent="0.25">
      <c r="D1319"/>
      <c r="E1319"/>
    </row>
    <row r="1320" spans="4:5" x14ac:dyDescent="0.25">
      <c r="D1320"/>
      <c r="E1320"/>
    </row>
    <row r="1321" spans="4:5" x14ac:dyDescent="0.25">
      <c r="D1321"/>
      <c r="E1321"/>
    </row>
    <row r="1322" spans="4:5" x14ac:dyDescent="0.25">
      <c r="D1322"/>
      <c r="E1322"/>
    </row>
    <row r="1323" spans="4:5" x14ac:dyDescent="0.25">
      <c r="D1323"/>
      <c r="E1323"/>
    </row>
    <row r="1324" spans="4:5" x14ac:dyDescent="0.25">
      <c r="D1324"/>
      <c r="E1324"/>
    </row>
    <row r="1325" spans="4:5" x14ac:dyDescent="0.25">
      <c r="D1325"/>
      <c r="E1325"/>
    </row>
    <row r="1326" spans="4:5" x14ac:dyDescent="0.25">
      <c r="D1326"/>
      <c r="E1326"/>
    </row>
    <row r="1327" spans="4:5" x14ac:dyDescent="0.25">
      <c r="D1327"/>
      <c r="E1327"/>
    </row>
    <row r="1328" spans="4:5" x14ac:dyDescent="0.25">
      <c r="D1328"/>
      <c r="E1328"/>
    </row>
    <row r="1329" spans="4:5" x14ac:dyDescent="0.25">
      <c r="D1329"/>
      <c r="E1329"/>
    </row>
    <row r="1330" spans="4:5" x14ac:dyDescent="0.25">
      <c r="D1330"/>
      <c r="E1330"/>
    </row>
    <row r="1331" spans="4:5" x14ac:dyDescent="0.25">
      <c r="D1331"/>
      <c r="E1331"/>
    </row>
    <row r="1332" spans="4:5" x14ac:dyDescent="0.25">
      <c r="D1332"/>
      <c r="E1332"/>
    </row>
    <row r="1333" spans="4:5" x14ac:dyDescent="0.25">
      <c r="D1333"/>
      <c r="E1333"/>
    </row>
    <row r="1334" spans="4:5" x14ac:dyDescent="0.25">
      <c r="D1334"/>
      <c r="E1334"/>
    </row>
    <row r="1335" spans="4:5" x14ac:dyDescent="0.25">
      <c r="D1335"/>
      <c r="E1335"/>
    </row>
    <row r="1336" spans="4:5" x14ac:dyDescent="0.25">
      <c r="D1336"/>
      <c r="E1336"/>
    </row>
    <row r="1337" spans="4:5" x14ac:dyDescent="0.25">
      <c r="D1337"/>
      <c r="E1337"/>
    </row>
    <row r="1338" spans="4:5" x14ac:dyDescent="0.25">
      <c r="D1338"/>
      <c r="E1338"/>
    </row>
    <row r="1339" spans="4:5" x14ac:dyDescent="0.25">
      <c r="D1339"/>
      <c r="E1339"/>
    </row>
    <row r="1340" spans="4:5" x14ac:dyDescent="0.25">
      <c r="D1340"/>
      <c r="E1340"/>
    </row>
    <row r="1341" spans="4:5" x14ac:dyDescent="0.25">
      <c r="D1341"/>
      <c r="E1341"/>
    </row>
    <row r="1342" spans="4:5" x14ac:dyDescent="0.25">
      <c r="D1342"/>
      <c r="E1342"/>
    </row>
    <row r="1343" spans="4:5" x14ac:dyDescent="0.25">
      <c r="D1343"/>
      <c r="E1343"/>
    </row>
    <row r="1344" spans="4:5" x14ac:dyDescent="0.25">
      <c r="D1344"/>
      <c r="E1344"/>
    </row>
    <row r="1345" spans="4:5" x14ac:dyDescent="0.25">
      <c r="D1345"/>
      <c r="E1345"/>
    </row>
    <row r="1346" spans="4:5" x14ac:dyDescent="0.25">
      <c r="D1346"/>
      <c r="E1346"/>
    </row>
    <row r="1347" spans="4:5" x14ac:dyDescent="0.25">
      <c r="D1347"/>
      <c r="E1347"/>
    </row>
    <row r="1348" spans="4:5" x14ac:dyDescent="0.25">
      <c r="D1348"/>
      <c r="E1348"/>
    </row>
    <row r="1349" spans="4:5" x14ac:dyDescent="0.25">
      <c r="D1349"/>
      <c r="E1349"/>
    </row>
    <row r="1350" spans="4:5" x14ac:dyDescent="0.25">
      <c r="D1350"/>
      <c r="E1350"/>
    </row>
    <row r="1351" spans="4:5" x14ac:dyDescent="0.25">
      <c r="D1351"/>
      <c r="E1351"/>
    </row>
    <row r="1352" spans="4:5" x14ac:dyDescent="0.25">
      <c r="D1352"/>
      <c r="E1352"/>
    </row>
    <row r="1353" spans="4:5" x14ac:dyDescent="0.25">
      <c r="D1353"/>
      <c r="E1353"/>
    </row>
    <row r="1354" spans="4:5" x14ac:dyDescent="0.25">
      <c r="D1354"/>
      <c r="E1354"/>
    </row>
    <row r="1355" spans="4:5" x14ac:dyDescent="0.25">
      <c r="D1355"/>
      <c r="E1355"/>
    </row>
    <row r="1356" spans="4:5" x14ac:dyDescent="0.25">
      <c r="D1356"/>
      <c r="E1356"/>
    </row>
    <row r="1357" spans="4:5" x14ac:dyDescent="0.25">
      <c r="D1357"/>
      <c r="E1357"/>
    </row>
    <row r="1358" spans="4:5" x14ac:dyDescent="0.25">
      <c r="D1358"/>
      <c r="E1358"/>
    </row>
    <row r="1359" spans="4:5" x14ac:dyDescent="0.25">
      <c r="D1359"/>
      <c r="E1359"/>
    </row>
    <row r="1360" spans="4:5" x14ac:dyDescent="0.25">
      <c r="D1360"/>
      <c r="E1360"/>
    </row>
    <row r="1361" spans="4:5" x14ac:dyDescent="0.25">
      <c r="D1361"/>
      <c r="E1361"/>
    </row>
    <row r="1362" spans="4:5" x14ac:dyDescent="0.25">
      <c r="D1362"/>
      <c r="E1362"/>
    </row>
    <row r="1363" spans="4:5" x14ac:dyDescent="0.25">
      <c r="D1363"/>
      <c r="E1363"/>
    </row>
    <row r="1364" spans="4:5" x14ac:dyDescent="0.25">
      <c r="D1364"/>
      <c r="E1364"/>
    </row>
    <row r="1365" spans="4:5" x14ac:dyDescent="0.25">
      <c r="D1365"/>
      <c r="E1365"/>
    </row>
    <row r="1366" spans="4:5" x14ac:dyDescent="0.25">
      <c r="D1366"/>
      <c r="E1366"/>
    </row>
    <row r="1367" spans="4:5" x14ac:dyDescent="0.25">
      <c r="D1367"/>
      <c r="E1367"/>
    </row>
    <row r="1368" spans="4:5" x14ac:dyDescent="0.25">
      <c r="D1368"/>
      <c r="E1368"/>
    </row>
    <row r="1369" spans="4:5" x14ac:dyDescent="0.25">
      <c r="D1369"/>
      <c r="E1369"/>
    </row>
    <row r="1370" spans="4:5" x14ac:dyDescent="0.25">
      <c r="D1370"/>
      <c r="E1370"/>
    </row>
    <row r="1371" spans="4:5" x14ac:dyDescent="0.25">
      <c r="D1371"/>
      <c r="E1371"/>
    </row>
    <row r="1372" spans="4:5" x14ac:dyDescent="0.25">
      <c r="D1372"/>
      <c r="E1372"/>
    </row>
    <row r="1373" spans="4:5" x14ac:dyDescent="0.25">
      <c r="D1373"/>
      <c r="E1373"/>
    </row>
    <row r="1374" spans="4:5" x14ac:dyDescent="0.25">
      <c r="D1374"/>
      <c r="E1374"/>
    </row>
    <row r="1375" spans="4:5" x14ac:dyDescent="0.25">
      <c r="D1375"/>
      <c r="E1375"/>
    </row>
    <row r="1376" spans="4:5" x14ac:dyDescent="0.25">
      <c r="D1376"/>
      <c r="E1376"/>
    </row>
    <row r="1377" spans="4:5" x14ac:dyDescent="0.25">
      <c r="D1377"/>
      <c r="E1377"/>
    </row>
    <row r="1378" spans="4:5" x14ac:dyDescent="0.25">
      <c r="D1378"/>
      <c r="E1378"/>
    </row>
    <row r="1379" spans="4:5" x14ac:dyDescent="0.25">
      <c r="D1379"/>
      <c r="E1379"/>
    </row>
    <row r="1380" spans="4:5" x14ac:dyDescent="0.25">
      <c r="D1380"/>
      <c r="E1380"/>
    </row>
    <row r="1381" spans="4:5" x14ac:dyDescent="0.25">
      <c r="D1381"/>
      <c r="E1381"/>
    </row>
    <row r="1382" spans="4:5" x14ac:dyDescent="0.25">
      <c r="D1382"/>
      <c r="E1382"/>
    </row>
    <row r="1383" spans="4:5" x14ac:dyDescent="0.25">
      <c r="D1383"/>
      <c r="E1383"/>
    </row>
    <row r="1384" spans="4:5" x14ac:dyDescent="0.25">
      <c r="D1384"/>
      <c r="E1384"/>
    </row>
    <row r="1385" spans="4:5" x14ac:dyDescent="0.25">
      <c r="D1385"/>
      <c r="E1385"/>
    </row>
    <row r="1386" spans="4:5" x14ac:dyDescent="0.25">
      <c r="D1386"/>
      <c r="E1386"/>
    </row>
    <row r="1387" spans="4:5" x14ac:dyDescent="0.25">
      <c r="D1387"/>
      <c r="E1387"/>
    </row>
    <row r="1388" spans="4:5" x14ac:dyDescent="0.25">
      <c r="D1388"/>
      <c r="E1388"/>
    </row>
    <row r="1389" spans="4:5" x14ac:dyDescent="0.25">
      <c r="D1389"/>
      <c r="E1389"/>
    </row>
    <row r="1390" spans="4:5" x14ac:dyDescent="0.25">
      <c r="D1390"/>
      <c r="E1390"/>
    </row>
    <row r="1391" spans="4:5" x14ac:dyDescent="0.25">
      <c r="D1391"/>
      <c r="E1391"/>
    </row>
    <row r="1392" spans="4:5" x14ac:dyDescent="0.25">
      <c r="D1392"/>
      <c r="E1392"/>
    </row>
    <row r="1393" spans="4:5" x14ac:dyDescent="0.25">
      <c r="D1393"/>
      <c r="E1393"/>
    </row>
    <row r="1394" spans="4:5" x14ac:dyDescent="0.25">
      <c r="D1394"/>
      <c r="E1394"/>
    </row>
    <row r="1395" spans="4:5" x14ac:dyDescent="0.25">
      <c r="D1395"/>
      <c r="E1395"/>
    </row>
    <row r="1396" spans="4:5" x14ac:dyDescent="0.25">
      <c r="D1396"/>
      <c r="E1396"/>
    </row>
    <row r="1397" spans="4:5" x14ac:dyDescent="0.25">
      <c r="D1397"/>
      <c r="E1397"/>
    </row>
    <row r="1398" spans="4:5" x14ac:dyDescent="0.25">
      <c r="D1398"/>
      <c r="E1398"/>
    </row>
    <row r="1399" spans="4:5" x14ac:dyDescent="0.25">
      <c r="D1399"/>
      <c r="E1399"/>
    </row>
    <row r="1400" spans="4:5" x14ac:dyDescent="0.25">
      <c r="D1400"/>
      <c r="E1400"/>
    </row>
    <row r="1401" spans="4:5" x14ac:dyDescent="0.25">
      <c r="D1401"/>
      <c r="E1401"/>
    </row>
    <row r="1402" spans="4:5" x14ac:dyDescent="0.25">
      <c r="D1402"/>
      <c r="E1402"/>
    </row>
    <row r="1403" spans="4:5" x14ac:dyDescent="0.25">
      <c r="D1403"/>
      <c r="E1403"/>
    </row>
    <row r="1404" spans="4:5" x14ac:dyDescent="0.25">
      <c r="D1404"/>
      <c r="E1404"/>
    </row>
    <row r="1405" spans="4:5" x14ac:dyDescent="0.25">
      <c r="D1405"/>
      <c r="E1405"/>
    </row>
    <row r="1406" spans="4:5" x14ac:dyDescent="0.25">
      <c r="D1406"/>
      <c r="E1406"/>
    </row>
    <row r="1407" spans="4:5" x14ac:dyDescent="0.25">
      <c r="D1407"/>
      <c r="E1407"/>
    </row>
    <row r="1408" spans="4:5" x14ac:dyDescent="0.25">
      <c r="D1408"/>
      <c r="E1408"/>
    </row>
    <row r="1409" spans="4:5" x14ac:dyDescent="0.25">
      <c r="D1409"/>
      <c r="E1409"/>
    </row>
    <row r="1410" spans="4:5" x14ac:dyDescent="0.25">
      <c r="D1410"/>
      <c r="E1410"/>
    </row>
    <row r="1411" spans="4:5" x14ac:dyDescent="0.25">
      <c r="D1411"/>
      <c r="E1411"/>
    </row>
    <row r="1412" spans="4:5" x14ac:dyDescent="0.25">
      <c r="D1412"/>
      <c r="E1412"/>
    </row>
    <row r="1413" spans="4:5" x14ac:dyDescent="0.25">
      <c r="D1413"/>
      <c r="E1413"/>
    </row>
    <row r="1414" spans="4:5" x14ac:dyDescent="0.25">
      <c r="D1414"/>
      <c r="E1414"/>
    </row>
    <row r="1415" spans="4:5" x14ac:dyDescent="0.25">
      <c r="D1415"/>
      <c r="E1415"/>
    </row>
    <row r="1416" spans="4:5" x14ac:dyDescent="0.25">
      <c r="D1416"/>
      <c r="E1416"/>
    </row>
    <row r="1417" spans="4:5" x14ac:dyDescent="0.25">
      <c r="D1417"/>
      <c r="E1417"/>
    </row>
    <row r="1418" spans="4:5" x14ac:dyDescent="0.25">
      <c r="D1418"/>
      <c r="E1418"/>
    </row>
    <row r="1419" spans="4:5" x14ac:dyDescent="0.25">
      <c r="D1419"/>
      <c r="E1419"/>
    </row>
    <row r="1420" spans="4:5" x14ac:dyDescent="0.25">
      <c r="D1420"/>
      <c r="E1420"/>
    </row>
    <row r="1421" spans="4:5" x14ac:dyDescent="0.25">
      <c r="D1421"/>
      <c r="E1421"/>
    </row>
    <row r="1422" spans="4:5" x14ac:dyDescent="0.25">
      <c r="D1422"/>
      <c r="E1422"/>
    </row>
    <row r="1423" spans="4:5" x14ac:dyDescent="0.25">
      <c r="D1423"/>
      <c r="E1423"/>
    </row>
    <row r="1424" spans="4:5" x14ac:dyDescent="0.25">
      <c r="D1424"/>
      <c r="E1424"/>
    </row>
    <row r="1425" spans="4:5" x14ac:dyDescent="0.25">
      <c r="D1425"/>
      <c r="E1425"/>
    </row>
    <row r="1426" spans="4:5" x14ac:dyDescent="0.25">
      <c r="D1426"/>
      <c r="E1426"/>
    </row>
    <row r="1427" spans="4:5" x14ac:dyDescent="0.25">
      <c r="D1427"/>
      <c r="E1427"/>
    </row>
    <row r="1428" spans="4:5" x14ac:dyDescent="0.25">
      <c r="D1428"/>
      <c r="E1428"/>
    </row>
    <row r="1429" spans="4:5" x14ac:dyDescent="0.25">
      <c r="D1429"/>
      <c r="E1429"/>
    </row>
    <row r="1430" spans="4:5" x14ac:dyDescent="0.25">
      <c r="D1430"/>
      <c r="E1430"/>
    </row>
  </sheetData>
  <mergeCells count="3">
    <mergeCell ref="B39:H42"/>
    <mergeCell ref="A2:J2"/>
    <mergeCell ref="A3:J3"/>
  </mergeCells>
  <dataValidations count="1">
    <dataValidation allowBlank="1" showInputMessage="1" showErrorMessage="1" prompt="Enter the start date of your ideal trend.  The date must be within your iteration dates, or blank." sqref="C7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AutomaticUpdate">
              <controlPr defaultSize="0" autoFill="0" autoLine="0" autoPict="0" macro="[0]!Burndown.AutomaticUpdate">
                <anchor moveWithCells="1">
                  <from>
                    <xdr:col>6</xdr:col>
                    <xdr:colOff>247650</xdr:colOff>
                    <xdr:row>5</xdr:row>
                    <xdr:rowOff>57150</xdr:rowOff>
                  </from>
                  <to>
                    <xdr:col>7</xdr:col>
                    <xdr:colOff>762000</xdr:colOff>
                    <xdr:row>6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urndownData"/>
  <dimension ref="A1:G38356"/>
  <sheetViews>
    <sheetView workbookViewId="0">
      <selection activeCell="B27" sqref="B27"/>
    </sheetView>
  </sheetViews>
  <sheetFormatPr defaultRowHeight="15" x14ac:dyDescent="0.25"/>
  <cols>
    <col min="1" max="1" width="18" style="60" customWidth="1"/>
    <col min="2" max="2" width="17.7109375" style="29" customWidth="1"/>
    <col min="3" max="3" width="5.42578125" style="29" customWidth="1"/>
    <col min="4" max="4" width="28" customWidth="1"/>
    <col min="5" max="5" width="13.85546875" customWidth="1"/>
    <col min="6" max="6" width="15.85546875" customWidth="1"/>
    <col min="7" max="7" width="16.28515625" customWidth="1"/>
    <col min="8" max="8" width="16.7109375" bestFit="1" customWidth="1"/>
    <col min="10" max="10" width="16.7109375" bestFit="1" customWidth="1"/>
    <col min="11" max="11" width="9.7109375" bestFit="1" customWidth="1"/>
  </cols>
  <sheetData>
    <row r="1" spans="1:7" x14ac:dyDescent="0.25">
      <c r="A1" s="67" t="s">
        <v>7</v>
      </c>
      <c r="B1" s="63"/>
      <c r="D1" s="59" t="s">
        <v>84</v>
      </c>
      <c r="E1" s="29" t="s" vm="5">
        <v>138</v>
      </c>
    </row>
    <row r="2" spans="1:7" x14ac:dyDescent="0.25">
      <c r="A2" s="67" t="s">
        <v>8</v>
      </c>
      <c r="B2" s="63"/>
      <c r="D2" s="59" t="s">
        <v>86</v>
      </c>
      <c r="E2" s="29" t="s" vm="4">
        <v>85</v>
      </c>
    </row>
    <row r="3" spans="1:7" s="11" customFormat="1" x14ac:dyDescent="0.25">
      <c r="A3" s="67" t="s">
        <v>9</v>
      </c>
      <c r="B3" s="64"/>
      <c r="C3" s="29"/>
      <c r="D3" s="59" t="s">
        <v>87</v>
      </c>
      <c r="E3" s="29" t="s" vm="3">
        <v>85</v>
      </c>
      <c r="F3"/>
    </row>
    <row r="4" spans="1:7" x14ac:dyDescent="0.25">
      <c r="A4" s="61"/>
      <c r="B4" s="38"/>
      <c r="D4" s="59" t="s">
        <v>88</v>
      </c>
      <c r="E4" s="29" t="s" vm="2">
        <v>102</v>
      </c>
    </row>
    <row r="5" spans="1:7" x14ac:dyDescent="0.25">
      <c r="A5" s="67" t="s">
        <v>93</v>
      </c>
      <c r="B5" s="65">
        <f>IterationEnd - IterationStart + 1</f>
        <v>1</v>
      </c>
      <c r="D5" s="59" t="s">
        <v>89</v>
      </c>
      <c r="E5" s="29" t="s" vm="1">
        <v>85</v>
      </c>
    </row>
    <row r="6" spans="1:7" x14ac:dyDescent="0.25">
      <c r="A6" s="67" t="s">
        <v>91</v>
      </c>
      <c r="B6" s="65">
        <f>IF(ISNUMBER(Burndown!TrendStartDate), Burndown!TrendStartDate - CubeStartDate, 0)</f>
        <v>0</v>
      </c>
    </row>
    <row r="7" spans="1:7" x14ac:dyDescent="0.25">
      <c r="A7" s="67" t="s">
        <v>96</v>
      </c>
      <c r="B7" s="66">
        <f ca="1">OFFSET(FirstRemainingHours, TrendOffset, 0)</f>
        <v>0</v>
      </c>
      <c r="E7" s="59" t="s">
        <v>90</v>
      </c>
    </row>
    <row r="8" spans="1:7" x14ac:dyDescent="0.25">
      <c r="A8" s="67" t="s">
        <v>92</v>
      </c>
      <c r="B8" s="62">
        <f ca="1">TrendRemainingStart/(MAX(BurndownNumDays-TrendOffset - 1, 1))</f>
        <v>0</v>
      </c>
      <c r="D8" s="59" t="s">
        <v>4</v>
      </c>
      <c r="E8" s="29" t="s">
        <v>105</v>
      </c>
      <c r="F8" s="29" t="s">
        <v>5</v>
      </c>
      <c r="G8" s="29" t="s">
        <v>23</v>
      </c>
    </row>
    <row r="9" spans="1:7" s="11" customFormat="1" x14ac:dyDescent="0.25">
      <c r="A9" s="60"/>
      <c r="B9" s="29"/>
      <c r="C9" s="29"/>
      <c r="D9" s="35" t="s">
        <v>106</v>
      </c>
      <c r="E9" s="69">
        <v>40026</v>
      </c>
      <c r="F9" s="7"/>
      <c r="G9" s="7"/>
    </row>
    <row r="10" spans="1:7" x14ac:dyDescent="0.25">
      <c r="A10" s="60" t="s">
        <v>95</v>
      </c>
      <c r="B10"/>
      <c r="D10" s="35" t="s">
        <v>107</v>
      </c>
      <c r="E10" s="69">
        <v>40027</v>
      </c>
      <c r="F10" s="7"/>
      <c r="G10" s="7"/>
    </row>
    <row r="11" spans="1:7" x14ac:dyDescent="0.25">
      <c r="A11" s="68">
        <f ca="1">TrendRemainingStart</f>
        <v>0</v>
      </c>
      <c r="D11" s="35" t="s">
        <v>108</v>
      </c>
      <c r="E11" s="69">
        <v>40028</v>
      </c>
      <c r="F11" s="7"/>
      <c r="G11" s="7"/>
    </row>
    <row r="12" spans="1:7" x14ac:dyDescent="0.25">
      <c r="A12" s="62">
        <f t="shared" ref="A12:A42" ca="1" si="0">A11-AverageVelocity</f>
        <v>0</v>
      </c>
      <c r="D12" s="35" t="s">
        <v>109</v>
      </c>
      <c r="E12" s="69">
        <v>40029</v>
      </c>
      <c r="F12" s="7"/>
      <c r="G12" s="7"/>
    </row>
    <row r="13" spans="1:7" x14ac:dyDescent="0.25">
      <c r="A13" s="62">
        <f t="shared" ca="1" si="0"/>
        <v>0</v>
      </c>
      <c r="D13" s="35" t="s">
        <v>110</v>
      </c>
      <c r="E13" s="69">
        <v>40030</v>
      </c>
      <c r="F13" s="7"/>
      <c r="G13" s="7"/>
    </row>
    <row r="14" spans="1:7" x14ac:dyDescent="0.25">
      <c r="A14" s="62">
        <f t="shared" ca="1" si="0"/>
        <v>0</v>
      </c>
      <c r="D14" s="35" t="s">
        <v>111</v>
      </c>
      <c r="E14" s="69">
        <v>40031</v>
      </c>
      <c r="F14" s="7"/>
      <c r="G14" s="7"/>
    </row>
    <row r="15" spans="1:7" x14ac:dyDescent="0.25">
      <c r="A15" s="62">
        <f t="shared" ca="1" si="0"/>
        <v>0</v>
      </c>
      <c r="D15" s="35" t="s">
        <v>112</v>
      </c>
      <c r="E15" s="69">
        <v>40032</v>
      </c>
      <c r="F15" s="7"/>
      <c r="G15" s="7"/>
    </row>
    <row r="16" spans="1:7" x14ac:dyDescent="0.25">
      <c r="A16" s="62">
        <f t="shared" ca="1" si="0"/>
        <v>0</v>
      </c>
      <c r="D16" s="35" t="s">
        <v>113</v>
      </c>
      <c r="E16" s="69">
        <v>40033</v>
      </c>
      <c r="F16" s="7"/>
      <c r="G16" s="7"/>
    </row>
    <row r="17" spans="1:7" x14ac:dyDescent="0.25">
      <c r="A17" s="62">
        <f t="shared" ca="1" si="0"/>
        <v>0</v>
      </c>
      <c r="D17" s="35" t="s">
        <v>114</v>
      </c>
      <c r="E17" s="69">
        <v>40034</v>
      </c>
      <c r="F17" s="7"/>
      <c r="G17" s="7"/>
    </row>
    <row r="18" spans="1:7" x14ac:dyDescent="0.25">
      <c r="A18" s="62">
        <f t="shared" ca="1" si="0"/>
        <v>0</v>
      </c>
      <c r="D18" s="35" t="s">
        <v>115</v>
      </c>
      <c r="E18" s="69">
        <v>40035</v>
      </c>
      <c r="F18" s="7"/>
      <c r="G18" s="7"/>
    </row>
    <row r="19" spans="1:7" x14ac:dyDescent="0.25">
      <c r="A19" s="62">
        <f t="shared" ca="1" si="0"/>
        <v>0</v>
      </c>
      <c r="D19" s="35" t="s">
        <v>116</v>
      </c>
      <c r="E19" s="69">
        <v>40036</v>
      </c>
      <c r="F19" s="7"/>
      <c r="G19" s="7"/>
    </row>
    <row r="20" spans="1:7" x14ac:dyDescent="0.25">
      <c r="A20" s="62">
        <f t="shared" ca="1" si="0"/>
        <v>0</v>
      </c>
      <c r="D20" s="35" t="s">
        <v>117</v>
      </c>
      <c r="E20" s="69">
        <v>40037</v>
      </c>
      <c r="F20" s="7"/>
      <c r="G20" s="7"/>
    </row>
    <row r="21" spans="1:7" x14ac:dyDescent="0.25">
      <c r="A21" s="62">
        <f t="shared" ca="1" si="0"/>
        <v>0</v>
      </c>
      <c r="D21" s="35" t="s">
        <v>118</v>
      </c>
      <c r="E21" s="69">
        <v>40038</v>
      </c>
      <c r="F21" s="7"/>
      <c r="G21" s="7"/>
    </row>
    <row r="22" spans="1:7" x14ac:dyDescent="0.25">
      <c r="A22" s="62">
        <f t="shared" ca="1" si="0"/>
        <v>0</v>
      </c>
      <c r="D22" s="35" t="s">
        <v>119</v>
      </c>
      <c r="E22" s="69">
        <v>40039</v>
      </c>
      <c r="F22" s="7"/>
      <c r="G22" s="7"/>
    </row>
    <row r="23" spans="1:7" x14ac:dyDescent="0.25">
      <c r="A23" s="62">
        <f t="shared" ca="1" si="0"/>
        <v>0</v>
      </c>
      <c r="D23" s="35" t="s">
        <v>120</v>
      </c>
      <c r="E23" s="69">
        <v>40040</v>
      </c>
      <c r="F23" s="7"/>
      <c r="G23" s="7"/>
    </row>
    <row r="24" spans="1:7" x14ac:dyDescent="0.25">
      <c r="A24" s="62">
        <f t="shared" ca="1" si="0"/>
        <v>0</v>
      </c>
      <c r="D24" s="35" t="s">
        <v>121</v>
      </c>
      <c r="E24" s="69">
        <v>40041</v>
      </c>
      <c r="F24" s="7"/>
      <c r="G24" s="7"/>
    </row>
    <row r="25" spans="1:7" x14ac:dyDescent="0.25">
      <c r="A25" s="62">
        <f t="shared" ca="1" si="0"/>
        <v>0</v>
      </c>
      <c r="D25" s="35" t="s">
        <v>122</v>
      </c>
      <c r="E25" s="69">
        <v>40042</v>
      </c>
      <c r="F25" s="7"/>
      <c r="G25" s="7"/>
    </row>
    <row r="26" spans="1:7" x14ac:dyDescent="0.25">
      <c r="A26" s="62">
        <f t="shared" ca="1" si="0"/>
        <v>0</v>
      </c>
      <c r="D26" s="35" t="s">
        <v>123</v>
      </c>
      <c r="E26" s="69">
        <v>40043</v>
      </c>
      <c r="F26" s="7"/>
      <c r="G26" s="7"/>
    </row>
    <row r="27" spans="1:7" x14ac:dyDescent="0.25">
      <c r="A27" s="62">
        <f t="shared" ca="1" si="0"/>
        <v>0</v>
      </c>
      <c r="D27" s="35" t="s">
        <v>124</v>
      </c>
      <c r="E27" s="69">
        <v>40044</v>
      </c>
      <c r="F27" s="7"/>
      <c r="G27" s="7"/>
    </row>
    <row r="28" spans="1:7" x14ac:dyDescent="0.25">
      <c r="A28" s="62">
        <f t="shared" ca="1" si="0"/>
        <v>0</v>
      </c>
      <c r="D28" s="35" t="s">
        <v>125</v>
      </c>
      <c r="E28" s="69">
        <v>40045</v>
      </c>
      <c r="F28" s="7"/>
      <c r="G28" s="7"/>
    </row>
    <row r="29" spans="1:7" x14ac:dyDescent="0.25">
      <c r="A29" s="62">
        <f t="shared" ca="1" si="0"/>
        <v>0</v>
      </c>
      <c r="D29" s="35" t="s">
        <v>126</v>
      </c>
      <c r="E29" s="69">
        <v>40046</v>
      </c>
      <c r="F29" s="7"/>
      <c r="G29" s="7"/>
    </row>
    <row r="30" spans="1:7" x14ac:dyDescent="0.25">
      <c r="A30" s="62">
        <f t="shared" ca="1" si="0"/>
        <v>0</v>
      </c>
      <c r="D30" s="35" t="s">
        <v>127</v>
      </c>
      <c r="E30" s="69">
        <v>40047</v>
      </c>
      <c r="F30" s="7"/>
      <c r="G30" s="7"/>
    </row>
    <row r="31" spans="1:7" x14ac:dyDescent="0.25">
      <c r="A31" s="62">
        <f t="shared" ca="1" si="0"/>
        <v>0</v>
      </c>
      <c r="D31" s="35" t="s">
        <v>128</v>
      </c>
      <c r="E31" s="69">
        <v>40048</v>
      </c>
      <c r="F31" s="7"/>
      <c r="G31" s="7"/>
    </row>
    <row r="32" spans="1:7" x14ac:dyDescent="0.25">
      <c r="A32" s="62">
        <f t="shared" ca="1" si="0"/>
        <v>0</v>
      </c>
      <c r="D32" s="35" t="s">
        <v>129</v>
      </c>
      <c r="E32" s="69">
        <v>40049</v>
      </c>
      <c r="F32" s="7"/>
      <c r="G32" s="7"/>
    </row>
    <row r="33" spans="1:7" x14ac:dyDescent="0.25">
      <c r="A33" s="62">
        <f t="shared" ca="1" si="0"/>
        <v>0</v>
      </c>
      <c r="D33" s="35" t="s">
        <v>130</v>
      </c>
      <c r="E33" s="69">
        <v>40050</v>
      </c>
      <c r="F33" s="7"/>
      <c r="G33" s="7"/>
    </row>
    <row r="34" spans="1:7" x14ac:dyDescent="0.25">
      <c r="A34" s="62">
        <f t="shared" ca="1" si="0"/>
        <v>0</v>
      </c>
      <c r="D34" s="35" t="s">
        <v>131</v>
      </c>
      <c r="E34" s="69">
        <v>40051</v>
      </c>
      <c r="F34" s="7"/>
      <c r="G34" s="7"/>
    </row>
    <row r="35" spans="1:7" x14ac:dyDescent="0.25">
      <c r="A35" s="62">
        <f t="shared" ca="1" si="0"/>
        <v>0</v>
      </c>
      <c r="D35" s="35" t="s">
        <v>132</v>
      </c>
      <c r="E35" s="69">
        <v>40052</v>
      </c>
      <c r="F35" s="70"/>
      <c r="G35" s="70"/>
    </row>
    <row r="36" spans="1:7" x14ac:dyDescent="0.25">
      <c r="A36" s="62">
        <f t="shared" ca="1" si="0"/>
        <v>0</v>
      </c>
      <c r="D36" s="35" t="s">
        <v>133</v>
      </c>
      <c r="E36" s="69">
        <v>40053</v>
      </c>
      <c r="F36" s="70"/>
      <c r="G36" s="70"/>
    </row>
    <row r="37" spans="1:7" x14ac:dyDescent="0.25">
      <c r="A37" s="62">
        <f t="shared" ca="1" si="0"/>
        <v>0</v>
      </c>
      <c r="D37" s="35" t="s">
        <v>134</v>
      </c>
      <c r="E37" s="69">
        <v>40054</v>
      </c>
      <c r="F37" s="70"/>
      <c r="G37" s="70"/>
    </row>
    <row r="38" spans="1:7" x14ac:dyDescent="0.25">
      <c r="A38" s="62">
        <f t="shared" ca="1" si="0"/>
        <v>0</v>
      </c>
      <c r="D38" s="35" t="s">
        <v>135</v>
      </c>
      <c r="E38" s="69">
        <v>40055</v>
      </c>
      <c r="F38" s="70"/>
      <c r="G38" s="70"/>
    </row>
    <row r="39" spans="1:7" x14ac:dyDescent="0.25">
      <c r="A39" s="62">
        <f t="shared" ca="1" si="0"/>
        <v>0</v>
      </c>
      <c r="D39" s="35" t="s">
        <v>136</v>
      </c>
      <c r="E39" s="69">
        <v>40056</v>
      </c>
      <c r="F39" s="70"/>
      <c r="G39" s="70"/>
    </row>
    <row r="40" spans="1:7" x14ac:dyDescent="0.25">
      <c r="A40" s="62">
        <f t="shared" ca="1" si="0"/>
        <v>0</v>
      </c>
      <c r="D40" s="35" t="s">
        <v>137</v>
      </c>
      <c r="E40" s="69">
        <v>40057</v>
      </c>
      <c r="F40" s="70"/>
      <c r="G40" s="70"/>
    </row>
    <row r="41" spans="1:7" x14ac:dyDescent="0.25">
      <c r="A41" s="62">
        <f t="shared" ca="1" si="0"/>
        <v>0</v>
      </c>
    </row>
    <row r="42" spans="1:7" x14ac:dyDescent="0.25">
      <c r="A42" s="62">
        <f t="shared" ca="1" si="0"/>
        <v>0</v>
      </c>
    </row>
    <row r="38356" spans="1:1" x14ac:dyDescent="0.25">
      <c r="A38356" s="60">
        <f ca="1">TrendRemainingStart</f>
        <v>0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calizeableStrings"/>
  <dimension ref="A1:D22"/>
  <sheetViews>
    <sheetView workbookViewId="0">
      <selection activeCell="A5" sqref="A5"/>
    </sheetView>
  </sheetViews>
  <sheetFormatPr defaultRowHeight="15" x14ac:dyDescent="0.25"/>
  <cols>
    <col min="1" max="1" width="109" bestFit="1" customWidth="1"/>
    <col min="2" max="2" width="23.140625" bestFit="1" customWidth="1"/>
    <col min="3" max="3" width="28" style="29" bestFit="1" customWidth="1"/>
  </cols>
  <sheetData>
    <row r="1" spans="1:4" s="11" customFormat="1" x14ac:dyDescent="0.25">
      <c r="A1" s="33" t="s">
        <v>27</v>
      </c>
      <c r="B1" s="33" t="s">
        <v>28</v>
      </c>
      <c r="C1" s="33" t="s">
        <v>99</v>
      </c>
      <c r="D1" s="33" t="s">
        <v>31</v>
      </c>
    </row>
    <row r="2" spans="1:4" x14ac:dyDescent="0.25">
      <c r="A2" s="29" t="s">
        <v>79</v>
      </c>
      <c r="B2" t="s">
        <v>10</v>
      </c>
      <c r="C2" s="29" t="s">
        <v>84</v>
      </c>
      <c r="D2" s="12" t="s">
        <v>30</v>
      </c>
    </row>
    <row r="3" spans="1:4" x14ac:dyDescent="0.25">
      <c r="A3" s="29" t="s">
        <v>57</v>
      </c>
      <c r="B3" t="s">
        <v>21</v>
      </c>
      <c r="C3" s="29" t="s">
        <v>86</v>
      </c>
      <c r="D3" s="29"/>
    </row>
    <row r="4" spans="1:4" x14ac:dyDescent="0.25">
      <c r="A4" s="29" t="s">
        <v>58</v>
      </c>
      <c r="B4" t="s">
        <v>23</v>
      </c>
      <c r="C4" s="29" t="s">
        <v>87</v>
      </c>
    </row>
    <row r="5" spans="1:4" x14ac:dyDescent="0.25">
      <c r="A5" s="29" t="s">
        <v>73</v>
      </c>
      <c r="B5" t="s">
        <v>1</v>
      </c>
      <c r="C5" s="29" t="s">
        <v>4</v>
      </c>
    </row>
    <row r="6" spans="1:4" x14ac:dyDescent="0.25">
      <c r="A6" s="29" t="s">
        <v>78</v>
      </c>
      <c r="B6" t="s">
        <v>17</v>
      </c>
      <c r="C6" s="29" t="s">
        <v>5</v>
      </c>
    </row>
    <row r="7" spans="1:4" x14ac:dyDescent="0.25">
      <c r="A7" s="29" t="s">
        <v>83</v>
      </c>
      <c r="B7" t="s">
        <v>24</v>
      </c>
      <c r="C7" s="29" t="s">
        <v>23</v>
      </c>
    </row>
    <row r="8" spans="1:4" x14ac:dyDescent="0.25">
      <c r="A8" s="29" t="s">
        <v>82</v>
      </c>
      <c r="B8" t="s">
        <v>25</v>
      </c>
    </row>
    <row r="9" spans="1:4" x14ac:dyDescent="0.25">
      <c r="A9" s="29" t="s">
        <v>55</v>
      </c>
      <c r="B9" t="s">
        <v>5</v>
      </c>
    </row>
    <row r="10" spans="1:4" x14ac:dyDescent="0.25">
      <c r="A10" s="29" t="s">
        <v>56</v>
      </c>
      <c r="B10" t="s">
        <v>22</v>
      </c>
    </row>
    <row r="11" spans="1:4" x14ac:dyDescent="0.25">
      <c r="A11" s="29" t="s">
        <v>60</v>
      </c>
      <c r="B11" t="s">
        <v>18</v>
      </c>
    </row>
    <row r="12" spans="1:4" x14ac:dyDescent="0.25">
      <c r="A12" s="29" t="s">
        <v>74</v>
      </c>
      <c r="B12" t="s">
        <v>12</v>
      </c>
    </row>
    <row r="13" spans="1:4" x14ac:dyDescent="0.25">
      <c r="A13" t="s">
        <v>69</v>
      </c>
      <c r="B13" t="s">
        <v>26</v>
      </c>
    </row>
    <row r="14" spans="1:4" x14ac:dyDescent="0.25">
      <c r="A14" s="29" t="s">
        <v>77</v>
      </c>
      <c r="B14" t="s">
        <v>11</v>
      </c>
    </row>
    <row r="15" spans="1:4" x14ac:dyDescent="0.25">
      <c r="A15" s="29" t="s">
        <v>76</v>
      </c>
      <c r="B15" t="s">
        <v>20</v>
      </c>
    </row>
    <row r="16" spans="1:4" x14ac:dyDescent="0.25">
      <c r="A16" s="29" t="s">
        <v>75</v>
      </c>
      <c r="B16" t="s">
        <v>6</v>
      </c>
    </row>
    <row r="17" spans="1:2" x14ac:dyDescent="0.25">
      <c r="A17" t="s">
        <v>81</v>
      </c>
      <c r="B17" t="s">
        <v>19</v>
      </c>
    </row>
    <row r="18" spans="1:2" x14ac:dyDescent="0.25">
      <c r="A18" s="29" t="s">
        <v>97</v>
      </c>
      <c r="B18" s="29" t="s">
        <v>102</v>
      </c>
    </row>
    <row r="19" spans="1:2" x14ac:dyDescent="0.25">
      <c r="A19" s="29" t="s">
        <v>98</v>
      </c>
    </row>
    <row r="20" spans="1:2" x14ac:dyDescent="0.25">
      <c r="A20" s="29" t="s">
        <v>101</v>
      </c>
    </row>
    <row r="21" spans="1:2" x14ac:dyDescent="0.25">
      <c r="A21" s="29" t="s">
        <v>103</v>
      </c>
    </row>
    <row r="22" spans="1:2" x14ac:dyDescent="0.25">
      <c r="A22" s="29" t="s">
        <v>104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Iteration Backlog</vt:lpstr>
      <vt:lpstr>Settings</vt:lpstr>
      <vt:lpstr>Interruptions</vt:lpstr>
      <vt:lpstr>Capacity</vt:lpstr>
      <vt:lpstr>Burndown</vt:lpstr>
      <vt:lpstr>BurndownData</vt:lpstr>
      <vt:lpstr>AreaList</vt:lpstr>
      <vt:lpstr>AreaListCube</vt:lpstr>
      <vt:lpstr>AreaPath</vt:lpstr>
      <vt:lpstr>Capacity!AssignedCapacity</vt:lpstr>
      <vt:lpstr>Capacity!AssignedCaption</vt:lpstr>
      <vt:lpstr>BurndownData!AverageVelocity</vt:lpstr>
      <vt:lpstr>BurndownData!BurndownCompletedWork</vt:lpstr>
      <vt:lpstr>BurndownData!BurndownDates</vt:lpstr>
      <vt:lpstr>BurndownErrorMessage</vt:lpstr>
      <vt:lpstr>BurndownData!BurndownNumDays</vt:lpstr>
      <vt:lpstr>BurndownData!BurndownRemainingWork</vt:lpstr>
      <vt:lpstr>CapacityErrorMessage</vt:lpstr>
      <vt:lpstr>HiddenCapacityData!CapacityFormulasUpdated</vt:lpstr>
      <vt:lpstr>BurndownData!CompletedWorkCaption</vt:lpstr>
      <vt:lpstr>BurndownData!CubeStartDate</vt:lpstr>
      <vt:lpstr>CurrentIteration</vt:lpstr>
      <vt:lpstr>BurndownData!FirstRemainingHours</vt:lpstr>
      <vt:lpstr>Burndown!Guidance</vt:lpstr>
      <vt:lpstr>Capacity!Guidance</vt:lpstr>
      <vt:lpstr>Interruptions!Guidance</vt:lpstr>
      <vt:lpstr>Settings!Guidance</vt:lpstr>
      <vt:lpstr>InterruptionsErrorMessage</vt:lpstr>
      <vt:lpstr>IterationDays</vt:lpstr>
      <vt:lpstr>IterationEnd</vt:lpstr>
      <vt:lpstr>IterationList</vt:lpstr>
      <vt:lpstr>IterationListCube</vt:lpstr>
      <vt:lpstr>IterationStart</vt:lpstr>
      <vt:lpstr>BurndownData!PreviousEndDate</vt:lpstr>
      <vt:lpstr>BurndownData!PreviousStartDate</vt:lpstr>
      <vt:lpstr>BurndownData!PreviousToday</vt:lpstr>
      <vt:lpstr>BurndownData!RemainingWorkCaption</vt:lpstr>
      <vt:lpstr>SettingsErrorMessage</vt:lpstr>
      <vt:lpstr>LocalizableStrings!State_Active</vt:lpstr>
      <vt:lpstr>TeamCapable</vt:lpstr>
      <vt:lpstr>TeamOver</vt:lpstr>
      <vt:lpstr>TeamRemainingCapacity</vt:lpstr>
      <vt:lpstr>TeamRemainingWork</vt:lpstr>
      <vt:lpstr>TeamUnder</vt:lpstr>
      <vt:lpstr>BurndownData!TrendCaption</vt:lpstr>
      <vt:lpstr>BurndownData!TrendData</vt:lpstr>
      <vt:lpstr>BurndownData!TrendOffset</vt:lpstr>
      <vt:lpstr>BurndownData!TrendRemainingStart</vt:lpstr>
      <vt:lpstr>Burndown!TrendStartDate</vt:lpstr>
      <vt:lpstr>Burndown!UpdatingCell</vt:lpstr>
      <vt:lpstr>UserList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2010-01-14T20:08:02Z</dcterms:created>
  <dcterms:modified xsi:type="dcterms:W3CDTF">2010-01-14T20:13:21Z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nableTFSReportingConnection">
    <vt:i4>1</vt:i4>
  </property>
</Properties>
</file>